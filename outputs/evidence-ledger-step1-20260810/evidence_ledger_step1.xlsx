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e21bead8f44861" /></Relationships>
</file>

<file path=xl/workbook.xml><?xml version="1.0" encoding="utf-8"?>
<x:workbook xmlns:x="http://schemas.openxmlformats.org/spreadsheetml/2006/main">
  <x:sheets>
    <x:sheet xmlns:r="http://schemas.openxmlformats.org/officeDocument/2006/relationships" name="README" sheetId="1" r:id="Rcd810cf42f72464c"/>
    <x:sheet xmlns:r="http://schemas.openxmlformats.org/officeDocument/2006/relationships" name="Evidence_Ledger" sheetId="2" r:id="Rec42d4d85e554461"/>
    <x:sheet xmlns:r="http://schemas.openxmlformats.org/officeDocument/2006/relationships" name="Conclusion_Map" sheetId="3" r:id="R32d44ff4e5134546"/>
    <x:sheet xmlns:r="http://schemas.openxmlformats.org/officeDocument/2006/relationships" name="Relations" sheetId="4" r:id="R14271d77c86e42a1"/>
    <x:sheet xmlns:r="http://schemas.openxmlformats.org/officeDocument/2006/relationships" name="Raw_Clean_Claims" sheetId="5" r:id="R25f9cb1092a84f9d"/>
    <x:sheet xmlns:r="http://schemas.openxmlformats.org/officeDocument/2006/relationships" name="Raw_Graph_Nodes" sheetId="6" r:id="R92ab1e012d674086"/>
    <x:sheet xmlns:r="http://schemas.openxmlformats.org/officeDocument/2006/relationships" name="Vocabulary_QC" sheetId="7" r:id="R06eb468cf12b406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sz val="10"/>
      <x:color rgb="FF1D2939"/>
      <x:name val="Aptos"/>
    </x:font>
    <x:font>
      <x:b/>
      <x:sz val="10"/>
      <x:color rgb="FFFFFFFF"/>
      <x:name val="Aptos"/>
    </x:font>
    <x:font>
      <x:b/>
      <x:sz val="22"/>
      <x:color rgb="FFFFFFFF"/>
      <x:name val="Aptos Display"/>
    </x:font>
    <x:font>
      <x:i/>
      <x:sz val="11"/>
      <x:color rgb="FF0F766E"/>
      <x:name val="Carlito"/>
    </x:font>
    <x:font>
      <x:b/>
      <x:sz val="11"/>
      <x:color rgb="FFFFFFFF"/>
      <x:name val="Carlito"/>
    </x:font>
    <x:font>
      <x:b/>
      <x:sz val="11"/>
      <x:color rgb="FF17324D"/>
      <x:name val="Carlito"/>
    </x:font>
    <x:font>
      <x:b/>
      <x:sz val="10"/>
      <x:color rgb="FF1D2939"/>
      <x:name val="Aptos"/>
    </x:font>
    <x:font>
      <x:i/>
      <x:sz val="10"/>
      <x:color rgb="FF1D2939"/>
      <x:name val="Aptos"/>
    </x:font>
    <x:font>
      <x:i/>
      <x:sz val="10"/>
      <x:color rgb="FF0F766E"/>
      <x:name val="Aptos"/>
    </x:font>
  </x:fonts>
  <x:fills count="8">
    <x:fill>
      <x:patternFill patternType="none"/>
    </x:fill>
    <x:fill>
      <x:patternFill patternType="gray125"/>
    </x:fill>
    <x:fill>
      <x:patternFill patternType="solid">
        <x:fgColor rgb="FF17324D"/>
      </x:patternFill>
    </x:fill>
    <x:fill>
      <x:patternFill patternType="solid">
        <x:fgColor rgb="FFE7F6F3"/>
      </x:patternFill>
    </x:fill>
    <x:fill>
      <x:patternFill patternType="solid">
        <x:fgColor rgb="FF0F766E"/>
      </x:patternFill>
    </x:fill>
    <x:fill>
      <x:patternFill patternType="solid">
        <x:fgColor rgb="FFEAF2FF"/>
      </x:patternFill>
    </x:fill>
    <x:fill>
      <x:patternFill patternType="solid">
        <x:fgColor rgb="FFFAFAFA"/>
      </x:patternFill>
    </x:fill>
    <x:fill>
      <x:patternFill patternType="solid">
        <x:fgColor rgb="FFF2F4F7"/>
      </x:patternFill>
    </x:fill>
  </x:fills>
  <x:borders count="13">
    <x:border/>
    <x:border>
      <x:bottom style="medium">
        <x:color rgb="FF0F766E"/>
      </x:bottom>
    </x:border>
    <x:border>
      <x:bottom style="thin">
        <x:color rgb="FFEAECF0"/>
      </x:bottom>
    </x:border>
    <x:border>
      <x:top style="thin">
        <x:color rgb="FFEAECF0"/>
      </x:top>
      <x:bottom style="thin">
        <x:color rgb="FFEAECF0"/>
      </x:bottom>
    </x:border>
    <x:border>
      <x:top style="thin">
        <x:color rgb="FFEAECF0"/>
      </x:top>
    </x:border>
    <x:border>
      <x:left style="thin">
        <x:color rgb="FFD0D5DD"/>
      </x:left>
      <x:top style="thin">
        <x:color rgb="FFD0D5DD"/>
      </x:top>
    </x:border>
    <x:border>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right style="thin">
        <x:color rgb="FFD0D5DD"/>
      </x:right>
      <x:bottom style="thin">
        <x:color rgb="FFD0D5DD"/>
      </x:bottom>
    </x:border>
    <x:border>
      <x:top style="thin">
        <x:color rgb="FFD0D5DD"/>
      </x:top>
    </x:border>
    <x:border>
      <x:bottom style="thin">
        <x:color rgb="FFD0D5DD"/>
      </x:bottom>
    </x:border>
  </x:borders>
  <x:cellStyleXfs count="1">
    <x:xf numFmtId="0" fontId="0" fillId="0" borderId="0"/>
  </x:cellStyleXfs>
  <x:cellXfs count="15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5" fillId="4" borderId="5" xfId="0" applyNumberFormat="1" applyFont="1" applyFill="1" applyBorder="1"/>
    <x:xf numFmtId="0" fontId="5" fillId="4" borderId="6" xfId="0" applyNumberFormat="1" applyFont="1" applyFill="1" applyBorder="1"/>
    <x:xf numFmtId="0" fontId="0" fillId="5" borderId="8" xfId="0" applyNumberFormat="1" applyFont="1" applyFill="1" applyBorder="1"/>
    <x:xf numFmtId="0" fontId="0" fillId="5" borderId="10" xfId="0" applyNumberFormat="1" applyFont="1" applyFill="1" applyBorder="1"/>
    <x:xf numFmtId="0" fontId="6" fillId="5" borderId="8" xfId="0" applyNumberFormat="1" applyFont="1" applyFill="1" applyBorder="1"/>
    <x:xf numFmtId="0" fontId="6" fillId="5" borderId="10" xfId="0" applyNumberFormat="1" applyFont="1" applyFill="1" applyBorder="1"/>
    <x:xf numFmtId="200" fontId="6" fillId="5" borderId="8" xfId="0" applyNumberFormat="1" applyFont="1" applyFill="1" applyBorder="1"/>
    <x:xf numFmtId="200" fontId="6" fillId="5" borderId="10" xfId="0" applyNumberFormat="1" applyFont="1" applyFill="1" applyBorder="1"/>
    <x:xf numFmtId="200" fontId="6" fillId="5" borderId="8" xfId="0" applyNumberFormat="1" applyFont="1" applyFill="1" applyBorder="1" applyAlignment="1">
      <x:alignment horizontal="center"/>
    </x:xf>
    <x:xf numFmtId="200" fontId="6" fillId="5" borderId="10" xfId="0" applyNumberFormat="1" applyFont="1" applyFill="1" applyBorder="1" applyAlignment="1">
      <x:alignment horizontal="center"/>
    </x:xf>
    <x:xf numFmtId="0" fontId="0" fillId="4" borderId="0" xfId="0" applyNumberFormat="1" applyFont="1" applyFill="1" applyBorder="1"/>
    <x:xf numFmtId="0" fontId="5" fillId="4" borderId="0" xfId="0" applyNumberFormat="1" applyFont="1" applyFill="1" applyBorder="1"/>
    <x:xf numFmtId="0" fontId="0" fillId="6" borderId="0" xfId="0" applyNumberFormat="1" applyFont="1" applyFill="1" applyBorder="1"/>
    <x:xf numFmtId="0" fontId="0" fillId="6" borderId="5" xfId="0" applyNumberFormat="1" applyFont="1" applyFill="1" applyBorder="1"/>
    <x:xf numFmtId="0" fontId="0" fillId="6" borderId="11"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12" xfId="0" applyNumberFormat="1" applyFont="1" applyFill="1" applyBorder="1"/>
    <x:xf numFmtId="0" fontId="0" fillId="6" borderId="10" xfId="0" applyNumberFormat="1" applyFont="1" applyFill="1" applyBorder="1"/>
    <x:xf numFmtId="0" fontId="0" fillId="6" borderId="5"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5" xfId="0" applyNumberFormat="1" applyFont="1" applyFill="1" applyBorder="1" applyAlignment="1">
      <x:alignment vertical="center" wrapText="1"/>
    </x:xf>
    <x:xf numFmtId="0" fontId="0" fillId="6" borderId="11"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0" fillId="6" borderId="7"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8" xfId="0" applyNumberFormat="1" applyFont="1" applyFill="1" applyBorder="1" applyAlignment="1">
      <x:alignment vertical="center" wrapText="1"/>
    </x:xf>
    <x:xf numFmtId="0" fontId="0" fillId="6" borderId="9" xfId="0" applyNumberFormat="1" applyFont="1" applyFill="1" applyBorder="1" applyAlignment="1">
      <x:alignment vertical="center" wrapText="1"/>
    </x:xf>
    <x:xf numFmtId="0" fontId="0" fillId="6" borderId="12" xfId="0" applyNumberFormat="1" applyFont="1" applyFill="1" applyBorder="1" applyAlignment="1">
      <x:alignment vertical="center" wrapText="1"/>
    </x:xf>
    <x:xf numFmtId="0" fontId="0" fillId="6" borderId="10" xfId="0" applyNumberFormat="1" applyFont="1" applyFill="1" applyBorder="1" applyAlignment="1">
      <x:alignment vertical="center" wrapText="1"/>
    </x:xf>
    <x:xf numFmtId="0" fontId="5" fillId="2" borderId="0" xfId="0" applyNumberFormat="1" applyFont="1" applyFill="1" applyBorder="1"/>
    <x:xf numFmtId="0" fontId="0" fillId="7" borderId="0" xfId="0" applyNumberFormat="1" applyFont="1" applyFill="1" applyBorder="1"/>
    <x:xf numFmtId="0" fontId="0" fillId="7" borderId="5" xfId="0" applyNumberFormat="1" applyFont="1" applyFill="1" applyBorder="1"/>
    <x:xf numFmtId="0" fontId="0" fillId="7" borderId="11" xfId="0" applyNumberFormat="1" applyFont="1" applyFill="1" applyBorder="1"/>
    <x:xf numFmtId="0" fontId="0" fillId="7" borderId="6" xfId="0" applyNumberFormat="1" applyFont="1" applyFill="1" applyBorder="1"/>
    <x:xf numFmtId="0" fontId="0" fillId="7" borderId="7" xfId="0" applyNumberFormat="1" applyFont="1" applyFill="1" applyBorder="1"/>
    <x:xf numFmtId="0" fontId="0" fillId="7" borderId="8" xfId="0" applyNumberFormat="1" applyFont="1" applyFill="1" applyBorder="1"/>
    <x:xf numFmtId="0" fontId="0" fillId="7" borderId="9" xfId="0" applyNumberFormat="1" applyFont="1" applyFill="1" applyBorder="1"/>
    <x:xf numFmtId="0" fontId="0" fillId="7" borderId="12" xfId="0" applyNumberFormat="1" applyFont="1" applyFill="1" applyBorder="1"/>
    <x:xf numFmtId="0" fontId="0" fillId="7" borderId="10" xfId="0" applyNumberFormat="1" applyFont="1" applyFill="1" applyBorder="1"/>
    <x:xf numFmtId="0" fontId="0" fillId="7" borderId="5" xfId="0" applyNumberFormat="1" applyFont="1" applyFill="1" applyBorder="1" applyAlignment="1">
      <x:alignment wrapText="1"/>
    </x:xf>
    <x:xf numFmtId="0" fontId="0" fillId="7" borderId="11" xfId="0" applyNumberFormat="1" applyFont="1" applyFill="1" applyBorder="1" applyAlignment="1">
      <x:alignment wrapText="1"/>
    </x:xf>
    <x:xf numFmtId="0" fontId="0" fillId="7" borderId="6" xfId="0" applyNumberFormat="1" applyFont="1" applyFill="1" applyBorder="1" applyAlignment="1">
      <x:alignment wrapText="1"/>
    </x:xf>
    <x:xf numFmtId="0" fontId="0" fillId="7" borderId="7"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8" xfId="0" applyNumberFormat="1" applyFont="1" applyFill="1" applyBorder="1" applyAlignment="1">
      <x:alignment wrapText="1"/>
    </x:xf>
    <x:xf numFmtId="0" fontId="0" fillId="7" borderId="9" xfId="0" applyNumberFormat="1" applyFont="1" applyFill="1" applyBorder="1" applyAlignment="1">
      <x:alignment wrapText="1"/>
    </x:xf>
    <x:xf numFmtId="0" fontId="0" fillId="7" borderId="12" xfId="0" applyNumberFormat="1" applyFont="1" applyFill="1" applyBorder="1" applyAlignment="1">
      <x:alignment wrapText="1"/>
    </x:xf>
    <x:xf numFmtId="0" fontId="0" fillId="7" borderId="10" xfId="0" applyNumberFormat="1" applyFont="1" applyFill="1" applyBorder="1" applyAlignment="1">
      <x:alignment wrapText="1"/>
    </x:xf>
    <x:xf numFmtId="0" fontId="0" fillId="7" borderId="5" xfId="0" applyNumberFormat="1" applyFont="1" applyFill="1" applyBorder="1" applyAlignment="1">
      <x:alignment vertical="center" wrapText="1"/>
    </x:xf>
    <x:xf numFmtId="0" fontId="0" fillId="7" borderId="11" xfId="0" applyNumberFormat="1" applyFont="1" applyFill="1" applyBorder="1" applyAlignment="1">
      <x:alignment vertical="center" wrapText="1"/>
    </x:xf>
    <x:xf numFmtId="0" fontId="0" fillId="7" borderId="6" xfId="0" applyNumberFormat="1" applyFont="1" applyFill="1" applyBorder="1" applyAlignment="1">
      <x:alignment vertical="center" wrapText="1"/>
    </x:xf>
    <x:xf numFmtId="0" fontId="0" fillId="7" borderId="7"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7" borderId="8" xfId="0" applyNumberFormat="1" applyFont="1" applyFill="1" applyBorder="1" applyAlignment="1">
      <x:alignment vertical="center" wrapText="1"/>
    </x:xf>
    <x:xf numFmtId="0" fontId="0" fillId="7" borderId="9" xfId="0" applyNumberFormat="1" applyFont="1" applyFill="1" applyBorder="1" applyAlignment="1">
      <x:alignment vertical="center" wrapText="1"/>
    </x:xf>
    <x:xf numFmtId="0" fontId="0" fillId="7" borderId="12" xfId="0" applyNumberFormat="1" applyFont="1" applyFill="1" applyBorder="1" applyAlignment="1">
      <x:alignment vertical="center" wrapText="1"/>
    </x:xf>
    <x:xf numFmtId="0" fontId="0" fillId="7" borderId="10" xfId="0" applyNumberFormat="1" applyFont="1" applyFill="1" applyBorder="1" applyAlignment="1">
      <x:alignment vertical="center" wrapText="1"/>
    </x:xf>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5"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5"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7" fillId="2" borderId="0" xfId="0" applyNumberFormat="1" applyFont="1" applyFill="1" applyBorder="1" applyAlignment="1">
      <x:alignment horizontal="left" vertical="center"/>
    </x:xf>
    <x:xf numFmtId="0" fontId="8" fillId="3" borderId="0" xfId="0" applyNumberFormat="1" applyFont="1" applyFill="1" applyBorder="1" applyAlignment="1">
      <x:alignment vertical="center"/>
    </x:xf>
    <x:xf numFmtId="0" fontId="7" fillId="4" borderId="5" xfId="0" applyNumberFormat="1" applyFont="1" applyFill="1" applyBorder="1"/>
    <x:xf numFmtId="0" fontId="7" fillId="4" borderId="6" xfId="0" applyNumberFormat="1" applyFont="1" applyFill="1" applyBorder="1"/>
    <x:xf numFmtId="0" fontId="7" fillId="4" borderId="0" xfId="0" applyNumberFormat="1" applyFont="1" applyFill="1" applyBorder="1"/>
    <x:xf numFmtId="0" fontId="1" fillId="0" borderId="7" xfId="0" applyNumberFormat="1" applyFont="1" applyFill="1" applyBorder="1"/>
    <x:xf numFmtId="200" fontId="7" fillId="5" borderId="8" xfId="0" applyNumberFormat="1" applyFont="1" applyFill="1" applyBorder="1" applyAlignment="1">
      <x:alignment horizontal="center"/>
    </x:xf>
    <x:xf numFmtId="0" fontId="1" fillId="6" borderId="5" xfId="0" applyNumberFormat="1" applyFont="1" applyFill="1" applyBorder="1" applyAlignment="1">
      <x:alignment vertical="center" wrapText="1"/>
    </x:xf>
    <x:xf numFmtId="0" fontId="1" fillId="6" borderId="11" xfId="0" applyNumberFormat="1" applyFont="1" applyFill="1" applyBorder="1" applyAlignment="1">
      <x:alignment vertical="center" wrapText="1"/>
    </x:xf>
    <x:xf numFmtId="0" fontId="1" fillId="6" borderId="6" xfId="0" applyNumberFormat="1" applyFont="1" applyFill="1" applyBorder="1" applyAlignment="1">
      <x:alignment vertical="center" wrapText="1"/>
    </x:xf>
    <x:xf numFmtId="0" fontId="1" fillId="6" borderId="7"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8" xfId="0" applyNumberFormat="1" applyFont="1" applyFill="1" applyBorder="1" applyAlignment="1">
      <x:alignment vertical="center" wrapText="1"/>
    </x:xf>
    <x:xf numFmtId="0" fontId="1" fillId="6" borderId="9" xfId="0" applyNumberFormat="1" applyFont="1" applyFill="1" applyBorder="1" applyAlignment="1">
      <x:alignment vertical="center" wrapText="1"/>
    </x:xf>
    <x:xf numFmtId="0" fontId="1" fillId="6" borderId="12"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 fillId="0" borderId="9" xfId="0" applyNumberFormat="1" applyFont="1" applyFill="1" applyBorder="1"/>
    <x:xf numFmtId="200" fontId="7" fillId="5" borderId="10" xfId="0" applyNumberFormat="1" applyFont="1" applyFill="1" applyBorder="1" applyAlignment="1">
      <x:alignment horizontal="center"/>
    </x:xf>
    <x:xf numFmtId="0" fontId="7" fillId="2" borderId="0" xfId="0" applyNumberFormat="1" applyFont="1" applyFill="1" applyBorder="1"/>
    <x:xf numFmtId="0" fontId="1" fillId="7" borderId="5" xfId="0" applyNumberFormat="1" applyFont="1" applyFill="1" applyBorder="1" applyAlignment="1">
      <x:alignment vertical="center" wrapText="1"/>
    </x:xf>
    <x:xf numFmtId="0" fontId="1" fillId="7" borderId="11" xfId="0" applyNumberFormat="1" applyFont="1" applyFill="1" applyBorder="1" applyAlignment="1">
      <x:alignment vertical="center" wrapText="1"/>
    </x:xf>
    <x:xf numFmtId="0" fontId="1" fillId="7" borderId="6" xfId="0" applyNumberFormat="1" applyFont="1" applyFill="1" applyBorder="1" applyAlignment="1">
      <x:alignment vertical="center" wrapText="1"/>
    </x:xf>
    <x:xf numFmtId="0" fontId="1" fillId="7" borderId="7"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1" fillId="7" borderId="8" xfId="0" applyNumberFormat="1" applyFont="1" applyFill="1" applyBorder="1" applyAlignment="1">
      <x:alignment vertical="center" wrapText="1"/>
    </x:xf>
    <x:xf numFmtId="0" fontId="1" fillId="7" borderId="9" xfId="0" applyNumberFormat="1" applyFont="1" applyFill="1" applyBorder="1" applyAlignment="1">
      <x:alignment vertical="center" wrapText="1"/>
    </x:xf>
    <x:xf numFmtId="0" fontId="1" fillId="7" borderId="12" xfId="0" applyNumberFormat="1" applyFont="1" applyFill="1" applyBorder="1" applyAlignment="1">
      <x:alignment vertical="center" wrapText="1"/>
    </x:xf>
    <x:xf numFmtId="0" fontId="1" fillId="7" borderId="10"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1" fillId="0" borderId="11"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0" fontId="1" fillId="0" borderId="12" xfId="0" applyNumberFormat="1" applyFont="1" applyFill="1" applyBorder="1" applyAlignment="1">
      <x:alignment vertical="center" wrapText="1"/>
    </x:xf>
    <x:xf numFmtId="0" fontId="1" fillId="0" borderId="10" xfId="0" applyNumberFormat="1" applyFont="1" applyFill="1" applyBorder="1" applyAlignment="1">
      <x:alignment vertical="center" wrapText="1"/>
    </x:xf>
    <x:xf numFmtId="0" fontId="9" fillId="3" borderId="0" xfId="0" applyNumberFormat="1" applyFont="1" applyFill="1" applyBorder="1" applyAlignment="1">
      <x:alignment vertical="center"/>
    </x:xf>
    <x:xf numFmtId="0" fontId="5" fillId="2" borderId="5" xfId="0" applyNumberFormat="1" applyFont="1" applyFill="1" applyBorder="1"/>
    <x:xf numFmtId="0" fontId="5" fillId="2" borderId="11" xfId="0" applyNumberFormat="1" applyFont="1" applyFill="1" applyBorder="1"/>
    <x:xf numFmtId="0" fontId="5" fillId="2" borderId="6" xfId="0" applyNumberFormat="1" applyFont="1" applyFill="1" applyBorder="1"/>
  </x:cellXfs>
  <x:cellStyles count="1">
    <x:cellStyle name="Normal" xfId="0"/>
  </x:cellStyles>
  <x:dxfs count="11">
    <x:dxf>
      <x:font>
        <x:b/>
        <x:color rgb="FF157347"/>
      </x:font>
      <x:fill>
        <x:patternFill patternType="solid">
          <x:bgColor rgb="FFE8F5EC"/>
        </x:patternFill>
      </x:fill>
    </x:dxf>
    <x:dxf>
      <x:font>
        <x:color rgb="FFD97706"/>
      </x:font>
      <x:fill>
        <x:patternFill patternType="solid">
          <x:bgColor rgb="FFFFF4D6"/>
        </x:patternFill>
      </x:fill>
    </x:dxf>
    <x:dxf>
      <x:font>
        <x:color rgb="FFD97706"/>
      </x:font>
      <x:fill>
        <x:patternFill patternType="solid">
          <x:bgColor rgb="FFFFF4D6"/>
        </x:patternFill>
      </x:fill>
    </x:dxf>
    <x:dxf>
      <x:font>
        <x:color rgb="FFB42318"/>
      </x:font>
      <x:fill>
        <x:patternFill patternType="solid">
          <x:bgColor rgb="FFFDECEC"/>
        </x:patternFill>
      </x:fill>
    </x:dxf>
    <x:dxf>
      <x:font>
        <x:color rgb="FF157347"/>
      </x:font>
      <x:fill>
        <x:patternFill patternType="solid">
          <x:bgColor rgb="FFE8F5EC"/>
        </x:patternFill>
      </x:fill>
    </x:dxf>
    <x:dxf>
      <x:font>
        <x:color rgb="FF2563EB"/>
      </x:font>
      <x:fill>
        <x:patternFill patternType="solid">
          <x:bgColor rgb="FFEAF2FF"/>
        </x:patternFill>
      </x:fill>
    </x:dxf>
    <x:dxf>
      <x:font>
        <x:color rgb="FFD97706"/>
      </x:font>
      <x:fill>
        <x:patternFill patternType="solid">
          <x:bgColor rgb="FFFFF4D6"/>
        </x:patternFill>
      </x:fill>
    </x:dxf>
    <x:dxf>
      <x:font>
        <x:b/>
        <x:color rgb="FFB42318"/>
      </x:font>
      <x:fill>
        <x:patternFill patternType="solid">
          <x:bgColor rgb="FFFDECEC"/>
        </x:patternFill>
      </x:fill>
    </x:dxf>
    <x:dxf>
      <x:font>
        <x:b/>
        <x:color rgb="FF157347"/>
      </x:font>
      <x:fill>
        <x:patternFill patternType="solid">
          <x:bgColor rgb="FFE8F5EC"/>
        </x:patternFill>
      </x:fill>
    </x:dxf>
    <x:dxf>
      <x:font>
        <x:b/>
        <x:color rgb="FFB42318"/>
      </x:font>
      <x:fill>
        <x:patternFill patternType="solid">
          <x:bgColor rgb="FFFDECEC"/>
        </x:patternFill>
      </x:fill>
    </x:dxf>
    <x:dxf>
      <x:font>
        <x:b/>
        <x:color rgb="FF157347"/>
      </x:font>
      <x:fill>
        <x:patternFill patternType="solid">
          <x:bgColor rgb="FFE8F5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4e305ae6464188" /><Relationship Type="http://schemas.openxmlformats.org/officeDocument/2006/relationships/theme" Target="/xl/theme/theme1.xml" Id="Rd4c626a273f343dc" /><Relationship Type="http://schemas.openxmlformats.org/officeDocument/2006/relationships/sharedStrings" Target="/xl/sharedStrings.xml" Id="Ra260e656de814c34" /><Relationship Type="http://schemas.openxmlformats.org/officeDocument/2006/relationships/worksheet" Target="/xl/worksheets/sheet1.xml" Id="Rcd810cf42f72464c" /><Relationship Type="http://schemas.openxmlformats.org/officeDocument/2006/relationships/worksheet" Target="/xl/worksheets/sheet2.xml" Id="Rec42d4d85e554461" /><Relationship Type="http://schemas.openxmlformats.org/officeDocument/2006/relationships/worksheet" Target="/xl/worksheets/sheet3.xml" Id="R32d44ff4e5134546" /><Relationship Type="http://schemas.openxmlformats.org/officeDocument/2006/relationships/worksheet" Target="/xl/worksheets/sheet4.xml" Id="R14271d77c86e42a1" /><Relationship Type="http://schemas.openxmlformats.org/officeDocument/2006/relationships/worksheet" Target="/xl/worksheets/sheet5.xml" Id="R25f9cb1092a84f9d" /><Relationship Type="http://schemas.openxmlformats.org/officeDocument/2006/relationships/worksheet" Target="/xl/worksheets/sheet6.xml" Id="R92ab1e012d674086" /><Relationship Type="http://schemas.openxmlformats.org/officeDocument/2006/relationships/worksheet" Target="/xl/worksheets/sheet7.xml" Id="R06eb468cf12b406c" /></Relationships>
</file>

<file path=xl/tables/table1.xml><?xml version="1.0" encoding="utf-8"?>
<x:table xmlns:x="http://schemas.openxmlformats.org/spreadsheetml/2006/main" id="1" name="EvidenceLedgerTable" displayName="EvidenceLedgerTable" ref="A1:X90" headerRowCount="1" totalsRowCount="0" totalsRowShown="0">
  <x:autoFilter ref="A1:X90"/>
  <x:tableColumns count="24">
    <x:tableColumn id="1" name="稳定_ID"/>
    <x:tableColumn id="2" name="来源层"/>
    <x:tableColumn id="3" name="原始_ID"/>
    <x:tableColumn id="4" name="父推理因子_ID"/>
    <x:tableColumn id="5" name="规范结论_ID"/>
    <x:tableColumn id="6" name="命题文本（self-contained）"/>
    <x:tableColumn id="7" name="英文原文/源文本"/>
    <x:tableColumn id="8" name="中文工作文本"/>
    <x:tableColumn id="9" name="类型"/>
    <x:tableColumn id="10" name="认识状态"/>
    <x:tableColumn id="11" name="论证角色"/>
    <x:tableColumn id="12" name="论文章节"/>
    <x:tableColumn id="13" name="图表"/>
    <x:tableColumn id="14" name="OCR_行号"/>
    <x:tableColumn id="15" name="论文原文锚点"/>
    <x:tableColumn id="16" name="论文原文锚点_中文译文"/>
    <x:tableColumn id="17" name="支持结论"/>
    <x:tableColumn id="18" name="反驳/限制结论"/>
    <x:tableColumn id="19" name="来源文件"/>
    <x:tableColumn id="20" name="JSON_Path"/>
    <x:tableColumn id="21" name="已进入正式IR"/>
    <x:tableColumn id="22" name="IR_ID"/>
    <x:tableColumn id="23" name="复核状态"/>
    <x:tableColumn id="24" name="备注"/>
  </x:tableColumns>
  <x:tableStyleInfo name="TableStyleMedium2" showFirstColumn="0" showLastColumn="0" showRowStripes="1" showColumnStripes="0"/>
</x:table>
</file>

<file path=xl/tables/table2.xml><?xml version="1.0" encoding="utf-8"?>
<x:table xmlns:x="http://schemas.openxmlformats.org/spreadsheetml/2006/main" id="2" name="ConclusionMapTable" displayName="ConclusionMapTable" ref="A1:O8" headerRowCount="1" totalsRowCount="0" totalsRowShown="0">
  <x:autoFilter ref="A1:O8"/>
  <x:tableColumns count="15">
    <x:tableColumn id="1" name="规范结论_ID"/>
    <x:tableColumn id="2" name="Graph_结论_ID"/>
    <x:tableColumn id="3" name="Global_ID"/>
    <x:tableColumn id="4" name="标题（中文）"/>
    <x:tableColumn id="5" name="粗粒度结论文本（中文）"/>
    <x:tableColumn id="6" name="Clean_命题_ID"/>
    <x:tableColumn id="7" name="观察证据_ID"/>
    <x:tableColumn id="8" name="Weakpoint_ID"/>
    <x:tableColumn id="9" name="问题_ID"/>
    <x:tableColumn id="10" name="推理因子_ID"/>
    <x:tableColumn id="11" name="Graph_prior"/>
    <x:tableColumn id="12" name="论文章节"/>
    <x:tableColumn id="13" name="图表"/>
    <x:tableColumn id="14" name="已进入正式IR"/>
    <x:tableColumn id="15" name="LKM_评述（中文）"/>
  </x:tableColumns>
  <x:tableStyleInfo name="TableStyleMedium2" showFirstColumn="0" showLastColumn="0" showRowStripes="1" showColumnStripes="0"/>
</x:table>
</file>

<file path=xl/tables/table3.xml><?xml version="1.0" encoding="utf-8"?>
<x:table xmlns:x="http://schemas.openxmlformats.org/spreadsheetml/2006/main" id="3" name="RelationsTable" displayName="RelationsTable" ref="A1:L39" headerRowCount="1" totalsRowCount="0" totalsRowShown="0">
  <x:autoFilter ref="A1:L39"/>
  <x:tableColumns count="12">
    <x:tableColumn id="1" name="稳定关系_ID"/>
    <x:tableColumn id="2" name="来源层"/>
    <x:tableColumn id="3" name="原始关系_ID"/>
    <x:tableColumn id="4" name="Source/相关命题"/>
    <x:tableColumn id="5" name="Target"/>
    <x:tableColumn id="6" name="关系类型"/>
    <x:tableColumn id="7" name="推理类型"/>
    <x:tableColumn id="8" name="p1"/>
    <x:tableColumn id="9" name="p2"/>
    <x:tableColumn id="10" name="关系说明"/>
    <x:tableColumn id="11" name="已进入正式IR"/>
    <x:tableColumn id="12" name="备注"/>
  </x:tableColumns>
  <x:tableStyleInfo name="TableStyleMedium2" showFirstColumn="0" showLastColumn="0" showRowStripes="1" showColumnStripes="0"/>
</x:table>
</file>

<file path=xl/tables/table4.xml><?xml version="1.0" encoding="utf-8"?>
<x:table xmlns:x="http://schemas.openxmlformats.org/spreadsheetml/2006/main" id="4" name="RawCleanClaimsTable" displayName="RawCleanClaimsTable" ref="A1:F24" headerRowCount="1" totalsRowCount="0" totalsRowShown="0">
  <x:autoFilter ref="A1:F24"/>
  <x:tableColumns count="6">
    <x:tableColumn id="1" name="ID"/>
    <x:tableColumn id="2" name="Text_EN"/>
    <x:tableColumn id="3" name="Text_ZH"/>
    <x:tableColumn id="4" name="Source_Conclusion_IDs"/>
    <x:tableColumn id="5" name="Global_IDs"/>
    <x:tableColumn id="6" name="JSON_Path"/>
  </x:tableColumns>
  <x:tableStyleInfo name="TableStyleMedium2" showFirstColumn="0" showLastColumn="0" showRowStripes="1" showColumnStripes="0"/>
</x:table>
</file>

<file path=xl/tables/table5.xml><?xml version="1.0" encoding="utf-8"?>
<x:table xmlns:x="http://schemas.openxmlformats.org/spreadsheetml/2006/main" id="5" name="RawGraphNodesTable" displayName="RawGraphNodesTable" ref="A1:N35" headerRowCount="1" totalsRowCount="0" totalsRowShown="0">
  <x:autoFilter ref="A1:N35"/>
  <x:tableColumns count="14">
    <x:tableColumn id="1" name="ID"/>
    <x:tableColumn id="2" name="Global_ID"/>
    <x:tableColumn id="3" name="Kind"/>
    <x:tableColumn id="4" name="Type"/>
    <x:tableColumn id="5" name="Title_EN"/>
    <x:tableColumn id="6" name="Title_ZH"/>
    <x:tableColumn id="7" name="Content_EN"/>
    <x:tableColumn id="8" name="Content_ZH"/>
    <x:tableColumn id="9" name="Order"/>
    <x:tableColumn id="10" name="Prior"/>
    <x:tableColumn id="11" name="Metadata_JSON"/>
    <x:tableColumn id="12" name="Steps_EN_JSON"/>
    <x:tableColumn id="13" name="Steps_ZH_JSON"/>
    <x:tableColumn id="14" name="JSON_Path"/>
  </x:tableColumns>
  <x:tableStyleInfo name="TableStyleMedium2" showFirstColumn="0" showLastColumn="0" showRowStripes="1" showColumnStripes="0"/>
</x:table>
</file>

<file path=xl/tables/table6.xml><?xml version="1.0" encoding="utf-8"?>
<x:table xmlns:x="http://schemas.openxmlformats.org/spreadsheetml/2006/main" id="6" name="VocabularyTable" displayName="VocabularyTable" ref="A1:C6" headerRowCount="1" totalsRowCount="0" totalsRowShown="0">
  <x:autoFilter ref="A1:C6"/>
  <x:tableColumns count="3">
    <x:tableColumn id="1" name="字段"/>
    <x:tableColumn id="2" name="允许值/规则"/>
    <x:tableColumn id="3" name="用途"/>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6bd4690a5294915" /></Relationships>
</file>

<file path=xl/worksheets/_rels/sheet3.xml.rels>&#65279;<?xml version="1.0" encoding="utf-8"?><Relationships xmlns="http://schemas.openxmlformats.org/package/2006/relationships"><Relationship Type="http://schemas.openxmlformats.org/officeDocument/2006/relationships/table" Target="/xl/tables/table2.xml" Id="Rd1d917f255b34f0c" /></Relationships>
</file>

<file path=xl/worksheets/_rels/sheet4.xml.rels>&#65279;<?xml version="1.0" encoding="utf-8"?><Relationships xmlns="http://schemas.openxmlformats.org/package/2006/relationships"><Relationship Type="http://schemas.openxmlformats.org/officeDocument/2006/relationships/table" Target="/xl/tables/table3.xml" Id="R8285020c29914f3a" /></Relationships>
</file>

<file path=xl/worksheets/_rels/sheet5.xml.rels>&#65279;<?xml version="1.0" encoding="utf-8"?><Relationships xmlns="http://schemas.openxmlformats.org/package/2006/relationships"><Relationship Type="http://schemas.openxmlformats.org/officeDocument/2006/relationships/table" Target="/xl/tables/table4.xml" Id="Rb32ff3464a52468a" /></Relationships>
</file>

<file path=xl/worksheets/_rels/sheet6.xml.rels>&#65279;<?xml version="1.0" encoding="utf-8"?><Relationships xmlns="http://schemas.openxmlformats.org/package/2006/relationships"><Relationship Type="http://schemas.openxmlformats.org/officeDocument/2006/relationships/table" Target="/xl/tables/table5.xml" Id="Rcb379d39ccc74d08" /></Relationships>
</file>

<file path=xl/worksheets/_rels/sheet7.xml.rels>&#65279;<?xml version="1.0" encoding="utf-8"?><Relationships xmlns="http://schemas.openxmlformats.org/package/2006/relationships"><Relationship Type="http://schemas.openxmlformats.org/officeDocument/2006/relationships/table" Target="/xl/tables/table6.xml" Id="R7759c0b987b84da8"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4" hidden="0" customWidth="1"/>
    <x:col min="4" max="4" width="22" hidden="0" customWidth="1"/>
    <x:col min="5" max="5" width="22" hidden="0" customWidth="1"/>
    <x:col min="6" max="6" width="22" hidden="0" customWidth="1"/>
    <x:col min="7" max="7" width="22" hidden="0" customWidth="1"/>
    <x:col min="8" max="8" width="22" hidden="0" customWidth="1"/>
  </x:cols>
  <x:sheetData>
    <x:row r="1" ht="34" customHeight="1">
      <x:c r="A1" s="14" t="str">
        <x:v>证据台账｜一张中奖彩票，通吃所有任务：跨数据集和优化器泛化中奖彩票初始化</x:v>
      </x:c>
      <x:c r="B1" s="14"/>
      <x:c r="C1" s="14"/>
      <x:c r="D1" s="14"/>
      <x:c r="E1" s="14"/>
      <x:c r="F1" s="14"/>
      <x:c r="G1" s="14"/>
      <x:c r="H1" s="14"/>
    </x:row>
    <x:row r="2" ht="34" customHeight="1">
      <x:c r="A2" s="14"/>
      <x:c r="B2" s="14"/>
      <x:c r="C2" s="14"/>
      <x:c r="D2" s="14"/>
      <x:c r="E2" s="14"/>
      <x:c r="F2" s="14"/>
      <x:c r="G2" s="14"/>
      <x:c r="H2" s="14"/>
    </x:row>
    <x:row r="3" ht="24" customHeight="1">
      <x:c r="A3" s="151" t="str">
        <x:v>步骤一中文增强版｜合并 clean_claims_and_relations.json 与 lkm_coarse_reasoning_graph.json｜生成日期 2026-08-10</x:v>
      </x:c>
      <x:c r="B3" s="151"/>
      <x:c r="C3" s="151"/>
      <x:c r="D3" s="151"/>
      <x:c r="E3" s="151"/>
      <x:c r="F3" s="151"/>
      <x:c r="G3" s="151"/>
      <x:c r="H3" s="151"/>
    </x:row>
    <x:row r="4" ht="24" customHeight="1">
      <x:c r="A4" s="1"/>
      <x:c r="B4" s="1"/>
      <x:c r="C4" s="1"/>
      <x:c r="D4" s="1"/>
      <x:c r="E4" s="1"/>
      <x:c r="F4" s="1"/>
      <x:c r="G4" s="1"/>
      <x:c r="H4" s="1"/>
    </x:row>
    <x:row r="5" ht="24" customHeight="1">
      <x:c r="A5" s="116" t="str">
        <x:v>指标</x:v>
      </x:c>
      <x:c r="B5" s="117" t="str">
        <x:v>数值</x:v>
      </x:c>
      <x:c r="C5" s="1"/>
      <x:c r="D5" s="118" t="str">
        <x:v>使用顺序</x:v>
      </x:c>
      <x:c r="E5" s="118"/>
      <x:c r="F5" s="118"/>
      <x:c r="G5" s="118"/>
      <x:c r="H5" s="118"/>
    </x:row>
    <x:row r="6" ht="34" customHeight="1">
      <x:c r="A6" s="119" t="str">
        <x:v>台账命题总数</x:v>
      </x:c>
      <x:c r="B6" s="120" t="n">
        <x:f>COUNTA(Evidence_Ledger!A2:A500)</x:f>
        <x:v>89</x:v>
      </x:c>
      <x:c r="C6" s="1"/>
      <x:c r="D6" s="121" t="str">
        <x:v>1. 在 Evidence_Ledger 先按“规范结论_ID”筛选一个结论组。</x:v>
      </x:c>
      <x:c r="E6" s="122"/>
      <x:c r="F6" s="122"/>
      <x:c r="G6" s="122"/>
      <x:c r="H6" s="123"/>
    </x:row>
    <x:row r="7" ht="34" customHeight="1">
      <x:c r="A7" s="119" t="str">
        <x:v>Clean 细化命题</x:v>
      </x:c>
      <x:c r="B7" s="120" t="n">
        <x:f>COUNTIF(Evidence_Ledger!B2:B500,"clean_claims")</x:f>
        <x:v>23</x:v>
      </x:c>
      <x:c r="C7" s="1"/>
      <x:c r="D7" s="124" t="str">
        <x:v>2. 优先复核“需核对图中读数”和“分析性命题；待复核”。</x:v>
      </x:c>
      <x:c r="E7" s="125"/>
      <x:c r="F7" s="125"/>
      <x:c r="G7" s="125"/>
      <x:c r="H7" s="126"/>
    </x:row>
    <x:row r="8" ht="34" customHeight="1">
      <x:c r="A8" s="119" t="str">
        <x:v>Graph 观察</x:v>
      </x:c>
      <x:c r="B8" s="120" t="n">
        <x:f>COUNTIF(Evidence_Ledger!B2:B500,"graph_highlight")</x:f>
        <x:v>8</x:v>
      </x:c>
      <x:c r="C8" s="1"/>
      <x:c r="D8" s="124" t="str">
        <x:v>3. 用 OCR 行号与原文锚点回到论文；最终发表前仍应对照 PDF 图像。</x:v>
      </x:c>
      <x:c r="E8" s="125"/>
      <x:c r="F8" s="125"/>
      <x:c r="G8" s="125"/>
      <x:c r="H8" s="126"/>
    </x:row>
    <x:row r="9" ht="34" customHeight="1">
      <x:c r="A9" s="119" t="str">
        <x:v>Graph weakpoint</x:v>
      </x:c>
      <x:c r="B9" s="120" t="n">
        <x:f>COUNTIF(Evidence_Ledger!B2:B500,"graph_weakpoint")</x:f>
        <x:v>5</x:v>
      </x:c>
      <x:c r="C9" s="1"/>
      <x:c r="D9" s="124" t="str">
        <x:v>4. 命题被形式化后，将“已进入正式IR”改为“是”并填写 IR_ID。</x:v>
      </x:c>
      <x:c r="E9" s="125"/>
      <x:c r="F9" s="125"/>
      <x:c r="G9" s="125"/>
      <x:c r="H9" s="126"/>
    </x:row>
    <x:row r="10" ht="34" customHeight="1">
      <x:c r="A10" s="119" t="str">
        <x:v>Graph 推理步骤</x:v>
      </x:c>
      <x:c r="B10" s="120" t="n">
        <x:f>COUNTIF(Evidence_Ledger!B2:B500,"graph_reasoning_step")</x:f>
        <x:v>39</x:v>
      </x:c>
      <x:c r="C10" s="1"/>
      <x:c r="D10" s="127" t="str">
        <x:v>5. weakpoint 进入下一步时，应展开为可独立支持/反驳的子网络。</x:v>
      </x:c>
      <x:c r="E10" s="128"/>
      <x:c r="F10" s="128"/>
      <x:c r="G10" s="128"/>
      <x:c r="H10" s="129"/>
    </x:row>
    <x:row r="11" ht="24" customHeight="1">
      <x:c r="A11" s="119" t="str">
        <x:v>已进入正式 IR</x:v>
      </x:c>
      <x:c r="B11" s="120" t="n">
        <x:f>COUNTIF(Evidence_Ledger!U2:U500,"是")</x:f>
        <x:v>0</x:v>
      </x:c>
      <x:c r="C11" s="1"/>
      <x:c r="D11" s="1"/>
      <x:c r="E11" s="1"/>
      <x:c r="F11" s="1"/>
      <x:c r="G11" s="1"/>
      <x:c r="H11" s="1"/>
    </x:row>
    <x:row r="12" ht="24" customHeight="1">
      <x:c r="A12" s="130" t="str">
        <x:v>仍需处理</x:v>
      </x:c>
      <x:c r="B12" s="131" t="n">
        <x:f>COUNTIF(Evidence_Ledger!U2:U500,"否")</x:f>
        <x:v>89</x:v>
      </x:c>
      <x:c r="C12" s="1"/>
      <x:c r="D12" s="1"/>
      <x:c r="E12" s="1"/>
      <x:c r="F12" s="1"/>
      <x:c r="G12" s="1"/>
      <x:c r="H12" s="1"/>
    </x:row>
    <x:row r="13" ht="24" customHeight="1">
      <x:c r="A13" s="1"/>
      <x:c r="B13" s="1"/>
      <x:c r="C13" s="1"/>
      <x:c r="D13" s="1"/>
      <x:c r="E13" s="1"/>
      <x:c r="F13" s="1"/>
      <x:c r="G13" s="1"/>
      <x:c r="H13" s="1"/>
    </x:row>
    <x:row r="14" ht="24" customHeight="1">
      <x:c r="A14" s="132" t="str">
        <x:v>字段与判定规则</x:v>
      </x:c>
      <x:c r="B14" s="132"/>
      <x:c r="C14" s="132"/>
      <x:c r="D14" s="132"/>
      <x:c r="E14" s="132"/>
      <x:c r="F14" s="132"/>
      <x:c r="G14" s="132"/>
      <x:c r="H14" s="132"/>
    </x:row>
    <x:row r="15" ht="36" customHeight="1">
      <x:c r="A15" s="133" t="str">
        <x:v>• “观察”只用于实验设置、图中比较或论文直接报告的经验结果；“结论”用于作者归纳、机制解释或规范性建议。</x:v>
      </x:c>
      <x:c r="B15" s="134"/>
      <x:c r="C15" s="134"/>
      <x:c r="D15" s="134"/>
      <x:c r="E15" s="134"/>
      <x:c r="F15" s="134"/>
      <x:c r="G15" s="134"/>
      <x:c r="H15" s="135"/>
    </x:row>
    <x:row r="16" ht="36" customHeight="1">
      <x:c r="A16" s="136" t="str">
        <x:v>• graph weakpoint 被记为“前提”，但论证角色明确为“weakpoint / 限制”；它们通常不是论文原句。</x:v>
      </x:c>
      <x:c r="B16" s="137"/>
      <x:c r="C16" s="137"/>
      <x:c r="D16" s="137"/>
      <x:c r="E16" s="137"/>
      <x:c r="F16" s="137"/>
      <x:c r="G16" s="137"/>
      <x:c r="H16" s="138"/>
    </x:row>
    <x:row r="17" ht="36" customHeight="1">
      <x:c r="A17" s="136" t="str">
        <x:v>• Graph 的 reasoning_steps 已拆成 39 条独立命题，方便以后将 ↝ 展开为子网络。</x:v>
      </x:c>
      <x:c r="B17" s="137"/>
      <x:c r="C17" s="137"/>
      <x:c r="D17" s="137"/>
      <x:c r="E17" s="137"/>
      <x:c r="F17" s="137"/>
      <x:c r="G17" s="137"/>
      <x:c r="H17" s="138"/>
    </x:row>
    <x:row r="18" ht="36" customHeight="1">
      <x:c r="A18" s="136" t="str">
        <x:v>• “论文原文锚点”是短摘录；“OCR_行号”指 paper_text_ocr_cleaned.md 的行号。</x:v>
      </x:c>
      <x:c r="B18" s="137"/>
      <x:c r="C18" s="137"/>
      <x:c r="D18" s="137"/>
      <x:c r="E18" s="137"/>
      <x:c r="F18" s="137"/>
      <x:c r="G18" s="137"/>
      <x:c r="H18" s="138"/>
    </x:row>
    <x:row r="19" ht="36" customHeight="1">
      <x:c r="A19" s="136" t="str">
        <x:v>• 当前没有正式 IR 文件可供确认，因此所有记录初始均为“否”；粗粒度 graph 的存在单独由“来源层”表示。</x:v>
      </x:c>
      <x:c r="B19" s="137"/>
      <x:c r="C19" s="137"/>
      <x:c r="D19" s="137"/>
      <x:c r="E19" s="137"/>
      <x:c r="F19" s="137"/>
      <x:c r="G19" s="137"/>
      <x:c r="H19" s="138"/>
    </x:row>
    <x:row r="20" ht="36" customHeight="1">
      <x:c r="A20" s="136" t="str">
        <x:v>• 重复命题不删除：clean_claims 与 graph 保留各自原始 ID，并通过“规范结论_ID”对齐。</x:v>
      </x:c>
      <x:c r="B20" s="137"/>
      <x:c r="C20" s="137"/>
      <x:c r="D20" s="137"/>
      <x:c r="E20" s="137"/>
      <x:c r="F20" s="137"/>
      <x:c r="G20" s="137"/>
      <x:c r="H20" s="138"/>
    </x:row>
    <x:row r="21" ht="36" customHeight="1">
      <x:c r="A21" s="139" t="str">
        <x:v>• 英文源文本和英文原文锚点作为审计依据保留；中文工作文本及原文锚点译文用于阅读与后续形式化。</x:v>
      </x:c>
      <x:c r="B21" s="140"/>
      <x:c r="C21" s="140"/>
      <x:c r="D21" s="140"/>
      <x:c r="E21" s="140"/>
      <x:c r="F21" s="140"/>
      <x:c r="G21" s="140"/>
      <x:c r="H21" s="141"/>
    </x:row>
    <x:row r="22" ht="24" customHeight="1">
      <x:c r="A22" s="132" t="str">
        <x:v>来源与完整性说明</x:v>
      </x:c>
      <x:c r="B22" s="132"/>
      <x:c r="C22" s="132"/>
      <x:c r="D22" s="132"/>
      <x:c r="E22" s="132"/>
      <x:c r="F22" s="132"/>
      <x:c r="G22" s="132"/>
      <x:c r="H22" s="132"/>
    </x:row>
    <x:row r="23" ht="32" customHeight="1">
      <x:c r="A23" s="142" t="str">
        <x:v>论文：一张中奖彩票，通吃所有任务：跨数据集和优化器泛化中奖彩票初始化（One ticket to win them all: generalizing lottery ticket initializations across datasets and optimizers；Ari S. Morcos | Haonan Yu | Michela Paganini | Yuandong Tian，2019-06-06，10.48550/arXiv.1906.02773）</x:v>
      </x:c>
      <x:c r="B23" s="143"/>
      <x:c r="C23" s="143"/>
      <x:c r="D23" s="143"/>
      <x:c r="E23" s="143"/>
      <x:c r="F23" s="143"/>
      <x:c r="G23" s="143"/>
      <x:c r="H23" s="144"/>
    </x:row>
    <x:row r="24" ht="32" customHeight="1">
      <x:c r="A24" s="145" t="str">
        <x:v>Clean 源：01_paper_sample_one_ticket/clean_claims_and_relations.json（23 assertions；11 relations）</x:v>
      </x:c>
      <x:c r="B24" s="146"/>
      <x:c r="C24" s="146"/>
      <x:c r="D24" s="146"/>
      <x:c r="E24" s="146"/>
      <x:c r="F24" s="146"/>
      <x:c r="G24" s="146"/>
      <x:c r="H24" s="147"/>
    </x:row>
    <x:row r="25" ht="32" customHeight="1">
      <x:c r="A25" s="145" t="str">
        <x:v>Graph 源：01_paper_sample_one_ticket/lkm_coarse_reasoning_graph.json（34 nodes；27 edges；其中 7 个 reasoning factors 含 39 steps）</x:v>
      </x:c>
      <x:c r="B25" s="146"/>
      <x:c r="C25" s="146"/>
      <x:c r="D25" s="146"/>
      <x:c r="E25" s="146"/>
      <x:c r="F25" s="146"/>
      <x:c r="G25" s="146"/>
      <x:c r="H25" s="147"/>
    </x:row>
    <x:row r="26" ht="32" customHeight="1">
      <x:c r="A26" s="148" t="str">
        <x:v>论文文本：01_paper_sample_one_ticket/paper_text_ocr_cleaned.md。OCR 可用于定位，不替代最终 PDF 视觉核验。</x:v>
      </x:c>
      <x:c r="B26" s="149"/>
      <x:c r="C26" s="149"/>
      <x:c r="D26" s="149"/>
      <x:c r="E26" s="149"/>
      <x:c r="F26" s="149"/>
      <x:c r="G26" s="149"/>
      <x:c r="H26" s="150"/>
    </x:row>
  </x:sheetData>
  <x:mergeCells>
    <x:mergeCell ref="A1:H2"/>
    <x:mergeCell ref="A3:H3"/>
    <x:mergeCell ref="D5:H5"/>
    <x:mergeCell ref="D6:H6"/>
    <x:mergeCell ref="D7:H7"/>
    <x:mergeCell ref="D8:H8"/>
    <x:mergeCell ref="D9:H9"/>
    <x:mergeCell ref="D10:H10"/>
    <x:mergeCell ref="A14:H14"/>
    <x:mergeCell ref="A15:H15"/>
    <x:mergeCell ref="A16:H16"/>
    <x:mergeCell ref="A17:H17"/>
    <x:mergeCell ref="A18:H18"/>
    <x:mergeCell ref="A19:H19"/>
    <x:mergeCell ref="A20:H20"/>
    <x:mergeCell ref="A21:H21"/>
    <x:mergeCell ref="A22:H22"/>
    <x:mergeCell ref="A23:H23"/>
    <x:mergeCell ref="A24:H24"/>
    <x:mergeCell ref="A25:H25"/>
    <x:mergeCell ref="A26:H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32" hidden="0" customWidth="1"/>
    <x:col min="4" max="4" width="28" hidden="0" customWidth="1"/>
    <x:col min="5" max="5" width="20" hidden="0" customWidth="1"/>
    <x:col min="6" max="6" width="52" hidden="0" customWidth="1"/>
    <x:col min="7" max="7" width="52" hidden="0" customWidth="1"/>
    <x:col min="8" max="8" width="48" hidden="0" customWidth="1"/>
    <x:col min="9" max="9" width="12" hidden="0" customWidth="1"/>
    <x:col min="10" max="10" width="24" hidden="0" customWidth="1"/>
    <x:col min="11" max="11" width="22" hidden="0" customWidth="1"/>
    <x:col min="12" max="12" width="30" hidden="0" customWidth="1"/>
    <x:col min="13" max="13" width="20" hidden="0" customWidth="1"/>
    <x:col min="14" max="14" width="22" hidden="0" customWidth="1"/>
    <x:col min="15" max="15" width="52" hidden="0" customWidth="1"/>
    <x:col min="16" max="16" width="52" hidden="0" customWidth="1"/>
    <x:col min="17" max="17" width="32" hidden="0" customWidth="1"/>
    <x:col min="18" max="18" width="34" hidden="0" customWidth="1"/>
    <x:col min="19" max="19" width="44" hidden="0" customWidth="1"/>
    <x:col min="20" max="20" width="48" hidden="0" customWidth="1"/>
    <x:col min="21" max="21" width="16" hidden="0" customWidth="1"/>
    <x:col min="22" max="22" width="18" hidden="0" customWidth="1"/>
    <x:col min="23" max="23" width="28" hidden="0" customWidth="1"/>
    <x:col min="24" max="24" width="48" hidden="0" customWidth="1"/>
  </x:cols>
  <x:sheetData>
    <x:row r="1" ht="32" customHeight="1">
      <x:c r="A1" s="7" t="str">
        <x:v>稳定_ID</x:v>
      </x:c>
      <x:c r="B1" s="7" t="str">
        <x:v>来源层</x:v>
      </x:c>
      <x:c r="C1" s="7" t="str">
        <x:v>原始_ID</x:v>
      </x:c>
      <x:c r="D1" s="7" t="str">
        <x:v>父推理因子_ID</x:v>
      </x:c>
      <x:c r="E1" s="7" t="str">
        <x:v>规范结论_ID</x:v>
      </x:c>
      <x:c r="F1" s="7" t="str">
        <x:v>命题文本（self-contained）</x:v>
      </x:c>
      <x:c r="G1" s="7" t="str">
        <x:v>英文原文/源文本</x:v>
      </x:c>
      <x:c r="H1" s="7" t="str">
        <x:v>中文工作文本</x:v>
      </x:c>
      <x:c r="I1" s="7" t="str">
        <x:v>类型</x:v>
      </x:c>
      <x:c r="J1" s="7" t="str">
        <x:v>认识状态</x:v>
      </x:c>
      <x:c r="K1" s="7" t="str">
        <x:v>论证角色</x:v>
      </x:c>
      <x:c r="L1" s="7" t="str">
        <x:v>论文章节</x:v>
      </x:c>
      <x:c r="M1" s="7" t="str">
        <x:v>图表</x:v>
      </x:c>
      <x:c r="N1" s="7" t="str">
        <x:v>OCR_行号</x:v>
      </x:c>
      <x:c r="O1" s="7" t="str">
        <x:v>论文原文锚点</x:v>
      </x:c>
      <x:c r="P1" s="7" t="str">
        <x:v>论文原文锚点_中文译文</x:v>
      </x:c>
      <x:c r="Q1" s="7" t="str">
        <x:v>支持结论</x:v>
      </x:c>
      <x:c r="R1" s="7" t="str">
        <x:v>反驳/限制结论</x:v>
      </x:c>
      <x:c r="S1" s="7" t="str">
        <x:v>来源文件</x:v>
      </x:c>
      <x:c r="T1" s="7" t="str">
        <x:v>JSON_Path</x:v>
      </x:c>
      <x:c r="U1" s="7" t="str">
        <x:v>已进入正式IR</x:v>
      </x:c>
      <x:c r="V1" s="7" t="str">
        <x:v>IR_ID</x:v>
      </x:c>
      <x:c r="W1" s="7" t="str">
        <x:v>复核状态</x:v>
      </x:c>
      <x:c r="X1" s="7" t="str">
        <x:v>备注</x:v>
      </x:c>
    </x:row>
    <x:row r="2" ht="72" customHeight="1">
      <x:c r="A2" s="8" t="str">
        <x:v>OTWTA-CLM-A001</x:v>
      </x:c>
      <x:c r="B2" s="8" t="str">
        <x:v>clean_claims</x:v>
      </x:c>
      <x:c r="C2" s="8" t="str">
        <x:v>A001</x:v>
      </x:c>
      <x:c r="D2" s="8" t="str"/>
      <x:c r="E2" s="8" t="str">
        <x:v>OTWTA-C01</x:v>
      </x:c>
      <x:c r="F2" s="8" t="str">
        <x:v>通过迭代量级剪枝（迭代剪枝率为0.2，最多30轮剪枝迭代；采用延迟重置至训练早期的迭代）在大型、复杂的自然图像源数据集上发现的中奖彩票初始化，在用于VGG19或ResNet50架构训练其他自然图像目标数据集时，往往能在目标任务上取得接近于直接在这些目标数据集上发现的中奖彩票所获得的测试准确率。</x:v>
      </x:c>
      <x:c r="G2" s="8" t="str">
        <x:v>Winning-ticket initializations discovered by iterative magnitude pruning (iterative pruning rate 0.2, up to 30 pruning iterations; late resetting to early training iterations) on large, complex natural-image source datasets produce sparse initializations that, when used to train a VGG19 or ResNet50 architecture on other natural-image target datasets, frequently achieve test accuracies on the target tasks that are close to the accuracies obtained by winning tickets discovered directly on those target datasets.</x:v>
      </x:c>
      <x:c r="H2" s="8" t="str">
        <x:v>通过迭代量级剪枝（迭代剪枝率为0.2，最多30轮剪枝迭代；采用延迟重置至训练早期的迭代）在大型、复杂的自然图像源数据集上发现的中奖彩票初始化，在用于VGG19或ResNet50架构训练其他自然图像目标数据集时，往往能在目标任务上取得接近于直接在这些目标数据集上发现的中奖彩票所获得的测试准确率。</x:v>
      </x:c>
      <x:c r="I2" s="8" t="str">
        <x:v>结论</x:v>
      </x:c>
      <x:c r="J2" s="8" t="str">
        <x:v>作者归纳或解释</x:v>
      </x:c>
      <x:c r="K2" s="8" t="str">
        <x:v>结论分解</x:v>
      </x:c>
      <x:c r="L2" s="8" t="str">
        <x:v>§4.2 跨数据集迁移</x:v>
      </x:c>
      <x:c r="M2" s="8" t="str">
        <x:v>Fig. 3; Fig. 4</x:v>
      </x:c>
      <x:c r="N2" s="8" t="str">
        <x:v>L118-L145（核心：L121）</x:v>
      </x:c>
      <x:c r="O2" s="8" t="str">
        <x:v>Across all comparisons, several key trends emerged. First and foremost, individual winning tickets which generalize across all datasets with performance close to that of winning tickets generated on the target dataset can be found.</x:v>
      </x:c>
      <x:c r="P2" s="8" t="str">
        <x:v>在所有比较中出现了若干关键趋势。首先也是最重要的是，可以找到能够跨所有数据集泛化的单个中奖彩票，其性能接近直接在目标数据集上产生的彩票。</x:v>
      </x:c>
      <x:c r="Q2" s="8" t="str">
        <x:v>paper:867771291879342656::conclusion_1</x:v>
      </x:c>
      <x:c r="R2" s="8" t="str"/>
      <x:c r="S2" s="8" t="str">
        <x:v>01_paper_sample_one_ticket/clean_claims_and_relations.json; paper_text_ocr_cleaned.md</x:v>
      </x:c>
      <x:c r="T2" s="8" t="str">
        <x:v>$.assertions[?(@.id=="A001")]</x:v>
      </x:c>
      <x:c r="U2" s="8" t="str">
        <x:v>否</x:v>
      </x:c>
      <x:c r="V2" s="8" t="str"/>
      <x:c r="W2" s="8" t="str">
        <x:v>已定位原文；待句级复核</x:v>
      </x:c>
      <x:c r="X2" s="8" t="str"/>
    </x:row>
    <x:row r="3" ht="72" customHeight="1">
      <x:c r="A3" s="9" t="str">
        <x:v>OTWTA-CLM-A002</x:v>
      </x:c>
      <x:c r="B3" s="9" t="str">
        <x:v>clean_claims</x:v>
      </x:c>
      <x:c r="C3" s="9" t="str">
        <x:v>A002</x:v>
      </x:c>
      <x:c r="D3" s="9" t="str"/>
      <x:c r="E3" s="9" t="str">
        <x:v>OTWTA-C01</x:v>
      </x:c>
      <x:c r="F3" s="9" t="str">
        <x:v>通过迭代量级剪枝（迭代剪枝率为0.2，最多30轮剪枝迭代；采用延迟重置至训练早期的迭代）在ImageNet和Places365、以及在较小程度上的CIFAR-100上发现的中奖彩票初始化，在用于VGG19或ResNet50架构训练SVHN、Fashion-MNIST、CIFAR-10、CIFAR-100、ImageNet、Places365时，往往能在目标任务上取得接近于直接在这些目标数据集上发现的中奖彩票所获得的测试准确率。</x:v>
      </x:c>
      <x:c r="G3" s="9" t="str">
        <x:v>Winning-ticket initializations discovered by iterative magnitude pruning (iterative pruning rate 0.2, up to 30 pruning iterations; late resetting to early training iterations) on ImageNet and Places365, and to a lesser extent CIFAR-100, produce sparse initializations that, when used to train a VGG19 or ResNet50 architecture on SVHN, Fashion-MNIST, CIFAR-10, CIFAR-100, ImageNet, Places365, frequently achieve test accuracies on the target tasks that are close to the accuracies obtained by winning tickets discovered directly on those target datasets.</x:v>
      </x:c>
      <x:c r="H3" s="9" t="str">
        <x:v>通过迭代量级剪枝（迭代剪枝率为0.2，最多30轮剪枝迭代；采用延迟重置至训练早期的迭代）在ImageNet和Places365、以及在较小程度上的CIFAR-100上发现的中奖彩票初始化，在用于VGG19或ResNet50架构训练SVHN、Fashion-MNIST、CIFAR-10、CIFAR-100、ImageNet、Places365时，往往能在目标任务上取得接近于直接在这些目标数据集上发现的中奖彩票所获得的测试准确率。</x:v>
      </x:c>
      <x:c r="I3" s="9" t="str">
        <x:v>结论</x:v>
      </x:c>
      <x:c r="J3" s="9" t="str">
        <x:v>作者归纳或解释</x:v>
      </x:c>
      <x:c r="K3" s="9" t="str">
        <x:v>结论分解</x:v>
      </x:c>
      <x:c r="L3" s="9" t="str">
        <x:v>§4.2 跨数据集迁移</x:v>
      </x:c>
      <x:c r="M3" s="9" t="str">
        <x:v>Fig. 3; Fig. 4</x:v>
      </x:c>
      <x:c r="N3" s="9" t="str">
        <x:v>L118-L145（核心：L121）</x:v>
      </x:c>
      <x:c r="O3" s="9" t="str">
        <x:v>Across all comparisons, several key trends emerged. First and foremost, individual winning tickets which generalize across all datasets with performance close to that of winning tickets generated on the target dataset can be found.</x:v>
      </x:c>
      <x:c r="P3" s="9" t="str">
        <x:v>在所有比较中出现了若干关键趋势。首先也是最重要的是，可以找到能够跨所有数据集泛化的单个中奖彩票，其性能接近直接在目标数据集上产生的彩票。</x:v>
      </x:c>
      <x:c r="Q3" s="9" t="str">
        <x:v>paper:867771291879342656::conclusion_1</x:v>
      </x:c>
      <x:c r="R3" s="9" t="str"/>
      <x:c r="S3" s="9" t="str">
        <x:v>01_paper_sample_one_ticket/clean_claims_and_relations.json; paper_text_ocr_cleaned.md</x:v>
      </x:c>
      <x:c r="T3" s="9" t="str">
        <x:v>$.assertions[?(@.id=="A002")]</x:v>
      </x:c>
      <x:c r="U3" s="9" t="str">
        <x:v>否</x:v>
      </x:c>
      <x:c r="V3" s="9" t="str"/>
      <x:c r="W3" s="9" t="str">
        <x:v>已定位原文；待句级复核</x:v>
      </x:c>
      <x:c r="X3" s="9" t="str"/>
    </x:row>
    <x:row r="4" ht="72" customHeight="1">
      <x:c r="A4" s="9" t="str">
        <x:v>OTWTA-CLM-A003</x:v>
      </x:c>
      <x:c r="B4" s="9" t="str">
        <x:v>clean_claims</x:v>
      </x:c>
      <x:c r="C4" s="9" t="str">
        <x:v>A003</x:v>
      </x:c>
      <x:c r="D4" s="9" t="str"/>
      <x:c r="E4" s="9" t="str">
        <x:v>OTWTA-C01</x:v>
      </x:c>
      <x:c r="F4" s="9" t="str">
        <x:v>这种可迁移性（即A002所描述的现象）在广泛的剪枝比例范围内均可观察到，包括非常高的稀疏度。</x:v>
      </x:c>
      <x:c r="G4" s="9" t="str">
        <x:v>The transferability (the phenomenon described by A002) is observed across a wide range of pruning fractions, including very high sparsity.</x:v>
      </x:c>
      <x:c r="H4" s="9" t="str">
        <x:v>这种可迁移性（即A002所描述的现象）在广泛的剪枝比例范围内均可观察到，包括非常高的稀疏度。</x:v>
      </x:c>
      <x:c r="I4" s="9" t="str">
        <x:v>观察</x:v>
      </x:c>
      <x:c r="J4" s="9" t="str">
        <x:v>直接/近直接经验陈述</x:v>
      </x:c>
      <x:c r="K4" s="9" t="str">
        <x:v>范围观测</x:v>
      </x:c>
      <x:c r="L4" s="9" t="str">
        <x:v>§4.2 跨数据集迁移</x:v>
      </x:c>
      <x:c r="M4" s="9" t="str">
        <x:v>Fig. 3; Fig. 4</x:v>
      </x:c>
      <x:c r="N4" s="9" t="str">
        <x:v>L118-L145（核心：L121）</x:v>
      </x:c>
      <x:c r="O4" s="9" t="str">
        <x:v>Across all comparisons, several key trends emerged. First and foremost, individual winning tickets which generalize across all datasets with performance close to that of winning tickets generated on the target dataset can be found.</x:v>
      </x:c>
      <x:c r="P4" s="9" t="str">
        <x:v>在所有比较中出现了若干关键趋势。首先也是最重要的是，可以找到能够跨所有数据集泛化的单个中奖彩票，其性能接近直接在目标数据集上产生的彩票。</x:v>
      </x:c>
      <x:c r="Q4" s="9" t="str">
        <x:v>paper:867771291879342656::conclusion_1</x:v>
      </x:c>
      <x:c r="R4" s="9" t="str"/>
      <x:c r="S4" s="9" t="str">
        <x:v>01_paper_sample_one_ticket/clean_claims_and_relations.json; paper_text_ocr_cleaned.md</x:v>
      </x:c>
      <x:c r="T4" s="9" t="str">
        <x:v>$.assertions[?(@.id=="A003")]</x:v>
      </x:c>
      <x:c r="U4" s="9" t="str">
        <x:v>否</x:v>
      </x:c>
      <x:c r="V4" s="9" t="str"/>
      <x:c r="W4" s="9" t="str">
        <x:v>需核对图中读数</x:v>
      </x:c>
      <x:c r="X4" s="9" t="str"/>
    </x:row>
    <x:row r="5" ht="72" customHeight="1">
      <x:c r="A5" s="9" t="str">
        <x:v>OTWTA-CLM-A006</x:v>
      </x:c>
      <x:c r="B5" s="9" t="str">
        <x:v>clean_claims</x:v>
      </x:c>
      <x:c r="C5" s="9" t="str">
        <x:v>A006</x:v>
      </x:c>
      <x:c r="D5" s="9" t="str"/>
      <x:c r="E5" s="9" t="str">
        <x:v>OTWTA-C01; OTWTA-C02</x:v>
      </x:c>
      <x:c r="F5" s="9" t="str">
        <x:v>在训练样本数量和输出类别数量上都更大的源数据集上发现的中奖彩票，在VGG19和ResNet50架构下，都能比在更小的源数据集上发现的中奖彩票更好地迁移到其他自然图像分类数据集。</x:v>
      </x:c>
      <x:c r="G5" s="9" t="str">
        <x:v>Winning tickets discovered on larger source datasets—both in terms of number of training examples and number of output classes—transfer substantially better to other natural-image classification datasets than tickets discovered on smaller source datasets, for both VGG19 and ResNet50 architectures.</x:v>
      </x:c>
      <x:c r="H5" s="9" t="str">
        <x:v>在训练样本数量和输出类别数量上都更大的源数据集上发现的中奖彩票，在VGG19和ResNet50架构下，都能比在更小的源数据集上发现的中奖彩票更好地迁移到其他自然图像分类数据集。</x:v>
      </x:c>
      <x:c r="I5" s="9" t="str">
        <x:v>结论</x:v>
      </x:c>
      <x:c r="J5" s="9" t="str">
        <x:v>作者归纳或解释</x:v>
      </x:c>
      <x:c r="K5" s="9" t="str">
        <x:v>结论分解</x:v>
      </x:c>
      <x:c r="L5" s="9" t="str">
        <x:v>§4.2 跨数据集迁移</x:v>
      </x:c>
      <x:c r="M5" s="9" t="str">
        <x:v>Fig. 3; Fig. 4</x:v>
      </x:c>
      <x:c r="N5" s="9" t="str">
        <x:v>L124-L133</x:v>
      </x:c>
      <x:c r="O5" s="9" t="str">
        <x:v>We consistently observed that winning tickets generated on larger, more complex datasets generalized substantially better than those generated on small datasets. ... Consistently, CIFAR-100 tickets generalized better than CIFAR-10 tickets.</x:v>
      </x:c>
      <x:c r="P5" s="9" t="str">
        <x:v>我们持续观察到，在更大、更复杂数据集上产生的中奖彩票，比小型数据集产生的彩票具有明显更好的泛化能力。CIFAR-100 彩票也持续优于 CIFAR-10 彩票。</x:v>
      </x:c>
      <x:c r="Q5" s="9" t="str">
        <x:v>paper:867771291879342656::conclusion_1; paper:867771291879342656::conclusion_2</x:v>
      </x:c>
      <x:c r="R5" s="9" t="str"/>
      <x:c r="S5" s="9" t="str">
        <x:v>01_paper_sample_one_ticket/clean_claims_and_relations.json; paper_text_ocr_cleaned.md</x:v>
      </x:c>
      <x:c r="T5" s="9" t="str">
        <x:v>$.assertions[?(@.id=="A006")]</x:v>
      </x:c>
      <x:c r="U5" s="9" t="str">
        <x:v>否</x:v>
      </x:c>
      <x:c r="V5" s="9" t="str"/>
      <x:c r="W5" s="9" t="str">
        <x:v>已定位原文；待句级复核</x:v>
      </x:c>
      <x:c r="X5" s="9" t="str">
        <x:v>该命题同时映射到多个粗粒度结论。</x:v>
      </x:c>
    </x:row>
    <x:row r="6" ht="72" customHeight="1">
      <x:c r="A6" s="9" t="str">
        <x:v>OTWTA-CLM-A007</x:v>
      </x:c>
      <x:c r="B6" s="9" t="str">
        <x:v>clean_claims</x:v>
      </x:c>
      <x:c r="C6" s="9" t="str">
        <x:v>A007</x:v>
      </x:c>
      <x:c r="D6" s="9" t="str"/>
      <x:c r="E6" s="9" t="str">
        <x:v>OTWTA-C01; OTWTA-C02</x:v>
      </x:c>
      <x:c r="F6" s="9" t="str">
        <x:v>在训练样本数量和输出类别数量上都更大的源数据集上发现的中奖彩票，在VGG19和ResNet50架构下，都能比在更小的源数据集上发现的中奖彩票更好地迁移到SVHN、Fashion-MNIST、CIFAR-10、CIFAR-100、ImageNet、Places365。</x:v>
      </x:c>
      <x:c r="G6" s="9" t="str">
        <x:v>Winning tickets discovered on larger source datasets—both in terms of number of training examples and number of output classes—transfer substantially better to SVHN, Fashion-MNIST, CIFAR-10, CIFAR-100, ImageNet, Places365 than tickets discovered on smaller source datasets, for both VGG19 and ResNet50 architectures.</x:v>
      </x:c>
      <x:c r="H6" s="9" t="str">
        <x:v>在训练样本数量和输出类别数量上都更大的源数据集上发现的中奖彩票，在VGG19和ResNet50架构下，都能比在更小的源数据集上发现的中奖彩票更好地迁移到SVHN、Fashion-MNIST、CIFAR-10、CIFAR-100、ImageNet、Places365。</x:v>
      </x:c>
      <x:c r="I6" s="9" t="str">
        <x:v>结论</x:v>
      </x:c>
      <x:c r="J6" s="9" t="str">
        <x:v>作者归纳或解释</x:v>
      </x:c>
      <x:c r="K6" s="9" t="str">
        <x:v>结论分解</x:v>
      </x:c>
      <x:c r="L6" s="9" t="str">
        <x:v>§4.2 跨数据集迁移</x:v>
      </x:c>
      <x:c r="M6" s="9" t="str">
        <x:v>Fig. 3; Fig. 4</x:v>
      </x:c>
      <x:c r="N6" s="9" t="str">
        <x:v>L124-L133</x:v>
      </x:c>
      <x:c r="O6" s="9" t="str">
        <x:v>We consistently observed that winning tickets generated on larger, more complex datasets generalized substantially better than those generated on small datasets. ... Consistently, CIFAR-100 tickets generalized better than CIFAR-10 tickets.</x:v>
      </x:c>
      <x:c r="P6" s="9" t="str">
        <x:v>我们持续观察到，在更大、更复杂数据集上产生的中奖彩票，比小型数据集产生的彩票具有明显更好的泛化能力。CIFAR-100 彩票也持续优于 CIFAR-10 彩票。</x:v>
      </x:c>
      <x:c r="Q6" s="9" t="str">
        <x:v>paper:867771291879342656::conclusion_1; paper:867771291879342656::conclusion_2</x:v>
      </x:c>
      <x:c r="R6" s="9" t="str"/>
      <x:c r="S6" s="9" t="str">
        <x:v>01_paper_sample_one_ticket/clean_claims_and_relations.json; paper_text_ocr_cleaned.md</x:v>
      </x:c>
      <x:c r="T6" s="9" t="str">
        <x:v>$.assertions[?(@.id=="A007")]</x:v>
      </x:c>
      <x:c r="U6" s="9" t="str">
        <x:v>否</x:v>
      </x:c>
      <x:c r="V6" s="9" t="str"/>
      <x:c r="W6" s="9" t="str">
        <x:v>已定位原文；待句级复核</x:v>
      </x:c>
      <x:c r="X6" s="9" t="str">
        <x:v>该命题同时映射到多个粗粒度结论。</x:v>
      </x:c>
    </x:row>
    <x:row r="7" ht="72" customHeight="1">
      <x:c r="A7" s="9" t="str">
        <x:v>OTWTA-CLM-A008</x:v>
      </x:c>
      <x:c r="B7" s="9" t="str">
        <x:v>clean_claims</x:v>
      </x:c>
      <x:c r="C7" s="9" t="str">
        <x:v>A008</x:v>
      </x:c>
      <x:c r="D7" s="9" t="str"/>
      <x:c r="E7" s="9" t="str">
        <x:v>OTWTA-C02</x:v>
      </x:c>
      <x:c r="F7" s="9" t="str">
        <x:v>这一效应（即A006所描述的效应）并不能仅用原始训练集大小来解释。</x:v>
      </x:c>
      <x:c r="G7" s="9" t="str">
        <x:v>This effect (the effect described by A006) is not solely explained by raw training-set size.</x:v>
      </x:c>
      <x:c r="H7" s="9" t="str">
        <x:v>这一效应（即A006所描述的效应）并不能仅用原始训练集大小来解释。</x:v>
      </x:c>
      <x:c r="I7" s="9" t="str">
        <x:v>结论</x:v>
      </x:c>
      <x:c r="J7" s="9" t="str">
        <x:v>作者归纳或解释</x:v>
      </x:c>
      <x:c r="K7" s="9" t="str">
        <x:v>排除性解释</x:v>
      </x:c>
      <x:c r="L7" s="9" t="str">
        <x:v>§4.2 跨数据集迁移</x:v>
      </x:c>
      <x:c r="M7" s="9" t="str">
        <x:v>Fig. 3; Fig. 4</x:v>
      </x:c>
      <x:c r="N7" s="9" t="str">
        <x:v>L124-L133</x:v>
      </x:c>
      <x:c r="O7" s="9" t="str">
        <x:v>We consistently observed that winning tickets generated on larger, more complex datasets generalized substantially better than those generated on small datasets. ... Consistently, CIFAR-100 tickets generalized better than CIFAR-10 tickets.</x:v>
      </x:c>
      <x:c r="P7" s="9" t="str">
        <x:v>我们持续观察到，在更大、更复杂数据集上产生的中奖彩票，比小型数据集产生的彩票具有明显更好的泛化能力。CIFAR-100 彩票也持续优于 CIFAR-10 彩票。</x:v>
      </x:c>
      <x:c r="Q7" s="9" t="str">
        <x:v>paper:867771291879342656::conclusion_2</x:v>
      </x:c>
      <x:c r="R7" s="9" t="str"/>
      <x:c r="S7" s="9" t="str">
        <x:v>01_paper_sample_one_ticket/clean_claims_and_relations.json; paper_text_ocr_cleaned.md</x:v>
      </x:c>
      <x:c r="T7" s="9" t="str">
        <x:v>$.assertions[?(@.id=="A008")]</x:v>
      </x:c>
      <x:c r="U7" s="9" t="str">
        <x:v>否</x:v>
      </x:c>
      <x:c r="V7" s="9" t="str"/>
      <x:c r="W7" s="9" t="str">
        <x:v>已定位原文；待句级复核</x:v>
      </x:c>
      <x:c r="X7" s="9" t="str"/>
    </x:row>
    <x:row r="8" ht="72" customHeight="1">
      <x:c r="A8" s="9" t="str">
        <x:v>OTWTA-CLM-A009</x:v>
      </x:c>
      <x:c r="B8" s="9" t="str">
        <x:v>clean_claims</x:v>
      </x:c>
      <x:c r="C8" s="9" t="str">
        <x:v>A009</x:v>
      </x:c>
      <x:c r="D8" s="9" t="str"/>
      <x:c r="E8" s="9" t="str">
        <x:v>OTWTA-C01; OTWTA-C02</x:v>
      </x:c>
      <x:c r="F8" s="9" t="str">
        <x:v>在训练集大小保持不变的情况下，类别数较多的源数据集所产生的中奖彩票，在各目标数据集上的泛化能力优于类别数较少的源数据集。</x:v>
      </x:c>
      <x:c r="G8" s="9" t="str">
        <x:v>Holding training-set size fixed, a source dataset with many classes produced tickets that generalized better across targets than one with few classes.</x:v>
      </x:c>
      <x:c r="H8" s="9" t="str">
        <x:v>在训练集大小保持不变的情况下，类别数较多的源数据集所产生的中奖彩票，在各目标数据集上的泛化能力优于类别数较少的源数据集。</x:v>
      </x:c>
      <x:c r="I8" s="9" t="str">
        <x:v>结论</x:v>
      </x:c>
      <x:c r="J8" s="9" t="str">
        <x:v>作者归纳或解释</x:v>
      </x:c>
      <x:c r="K8" s="9" t="str">
        <x:v>比较推断</x:v>
      </x:c>
      <x:c r="L8" s="9" t="str">
        <x:v>§4.2 跨数据集迁移</x:v>
      </x:c>
      <x:c r="M8" s="9" t="str">
        <x:v>Fig. 3; Fig. 4</x:v>
      </x:c>
      <x:c r="N8" s="9" t="str">
        <x:v>L124-L133</x:v>
      </x:c>
      <x:c r="O8" s="9" t="str">
        <x:v>We consistently observed that winning tickets generated on larger, more complex datasets generalized substantially better than those generated on small datasets. ... Consistently, CIFAR-100 tickets generalized better than CIFAR-10 tickets.</x:v>
      </x:c>
      <x:c r="P8" s="9" t="str">
        <x:v>我们持续观察到，在更大、更复杂数据集上产生的中奖彩票，比小型数据集产生的彩票具有明显更好的泛化能力。CIFAR-100 彩票也持续优于 CIFAR-10 彩票。</x:v>
      </x:c>
      <x:c r="Q8" s="9" t="str">
        <x:v>paper:867771291879342656::conclusion_1; paper:867771291879342656::conclusion_2</x:v>
      </x:c>
      <x:c r="R8" s="9" t="str"/>
      <x:c r="S8" s="9" t="str">
        <x:v>01_paper_sample_one_ticket/clean_claims_and_relations.json; paper_text_ocr_cleaned.md</x:v>
      </x:c>
      <x:c r="T8" s="9" t="str">
        <x:v>$.assertions[?(@.id=="A009")]</x:v>
      </x:c>
      <x:c r="U8" s="9" t="str">
        <x:v>否</x:v>
      </x:c>
      <x:c r="V8" s="9" t="str"/>
      <x:c r="W8" s="9" t="str">
        <x:v>已定位原文；待句级复核</x:v>
      </x:c>
      <x:c r="X8" s="9" t="str">
        <x:v>该命题同时映射到多个粗粒度结论。</x:v>
      </x:c>
    </x:row>
    <x:row r="9" ht="72" customHeight="1">
      <x:c r="A9" s="9" t="str">
        <x:v>OTWTA-CLM-A010</x:v>
      </x:c>
      <x:c r="B9" s="9" t="str">
        <x:v>clean_claims</x:v>
      </x:c>
      <x:c r="C9" s="9" t="str">
        <x:v>A010</x:v>
      </x:c>
      <x:c r="D9" s="9" t="str"/>
      <x:c r="E9" s="9" t="str">
        <x:v>OTWTA-C01; OTWTA-C02</x:v>
      </x:c>
      <x:c r="F9" s="9" t="str">
        <x:v>在训练集大小保持不变的情况下，CIFAR-100（100个类别）产生的中奖彩票比CIFAR-10（10个类别）产生的中奖彩票在各目标数据集上具有更好的泛化能力。</x:v>
      </x:c>
      <x:c r="G9" s="9" t="str">
        <x:v>Holding training-set size fixed, CIFAR-100 (100 classes) produced tickets that generalized better across targets than CIFAR-10 (10 classes).</x:v>
      </x:c>
      <x:c r="H9" s="9" t="str">
        <x:v>在训练集大小保持不变的情况下，CIFAR-100（100个类别）产生的中奖彩票比CIFAR-10（10个类别）产生的中奖彩票在各目标数据集上具有更好的泛化能力。</x:v>
      </x:c>
      <x:c r="I9" s="9" t="str">
        <x:v>观察</x:v>
      </x:c>
      <x:c r="J9" s="9" t="str">
        <x:v>直接/近直接经验陈述</x:v>
      </x:c>
      <x:c r="K9" s="9" t="str">
        <x:v>对照观测</x:v>
      </x:c>
      <x:c r="L9" s="9" t="str">
        <x:v>§4.2 跨数据集迁移</x:v>
      </x:c>
      <x:c r="M9" s="9" t="str">
        <x:v>Fig. 3; Fig. 4</x:v>
      </x:c>
      <x:c r="N9" s="9" t="str">
        <x:v>L124-L133</x:v>
      </x:c>
      <x:c r="O9" s="9" t="str">
        <x:v>We consistently observed that winning tickets generated on larger, more complex datasets generalized substantially better than those generated on small datasets. ... Consistently, CIFAR-100 tickets generalized better than CIFAR-10 tickets.</x:v>
      </x:c>
      <x:c r="P9" s="9" t="str">
        <x:v>我们持续观察到，在更大、更复杂数据集上产生的中奖彩票，比小型数据集产生的彩票具有明显更好的泛化能力。CIFAR-100 彩票也持续优于 CIFAR-10 彩票。</x:v>
      </x:c>
      <x:c r="Q9" s="9" t="str">
        <x:v>paper:867771291879342656::conclusion_1; paper:867771291879342656::conclusion_2</x:v>
      </x:c>
      <x:c r="R9" s="9" t="str"/>
      <x:c r="S9" s="9" t="str">
        <x:v>01_paper_sample_one_ticket/clean_claims_and_relations.json; paper_text_ocr_cleaned.md</x:v>
      </x:c>
      <x:c r="T9" s="9" t="str">
        <x:v>$.assertions[?(@.id=="A010")]</x:v>
      </x:c>
      <x:c r="U9" s="9" t="str">
        <x:v>否</x:v>
      </x:c>
      <x:c r="V9" s="9" t="str"/>
      <x:c r="W9" s="9" t="str">
        <x:v>需核对图中读数</x:v>
      </x:c>
      <x:c r="X9" s="9" t="str">
        <x:v>该命题同时映射到多个粗粒度结论。</x:v>
      </x:c>
    </x:row>
    <x:row r="10" ht="72" customHeight="1">
      <x:c r="A10" s="9" t="str">
        <x:v>OTWTA-CLM-A011</x:v>
      </x:c>
      <x:c r="B10" s="9" t="str">
        <x:v>clean_claims</x:v>
      </x:c>
      <x:c r="C10" s="9" t="str">
        <x:v>A011</x:v>
      </x:c>
      <x:c r="D10" s="9" t="str"/>
      <x:c r="E10" s="9" t="str">
        <x:v>OTWTA-C03</x:v>
      </x:c>
      <x:c r="F10" s="9" t="str">
        <x:v>用一种优化器生成的中奖彩票初始化，能够泛化到使用另一种优化器在自然图像分类数据集上进行训练的场景。</x:v>
      </x:c>
      <x:c r="G10" s="9" t="str">
        <x:v>Winning-ticket initializations generated with one optimizer generalize to training with a different optimizer on natural-image classification datasets.</x:v>
      </x:c>
      <x:c r="H10" s="9" t="str">
        <x:v>用一种优化器生成的中奖彩票初始化，能够泛化到使用另一种优化器在自然图像分类数据集上进行训练的场景。</x:v>
      </x:c>
      <x:c r="I10" s="9" t="str">
        <x:v>结论</x:v>
      </x:c>
      <x:c r="J10" s="9" t="str">
        <x:v>作者归纳或解释</x:v>
      </x:c>
      <x:c r="K10" s="9" t="str">
        <x:v>结论分解</x:v>
      </x:c>
      <x:c r="L10" s="9" t="str">
        <x:v>§4.3 跨优化器迁移</x:v>
      </x:c>
      <x:c r="M10" s="9" t="str">
        <x:v>Fig. 5</x:v>
      </x:c>
      <x:c r="N10" s="9" t="str">
        <x:v>L150-L159（核心：L153）</x:v>
      </x:c>
      <x:c r="O10"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10" s="9" t="str">
        <x:v>VGG 模型的迁移彩票取得了与源优化器产生的彩票相近的性能。从 SGD 迁移到 Adam 的彩票在低剪枝比例下不如随机彩票，但在高剪枝比例下明显优于随机彩票。</x:v>
      </x:c>
      <x:c r="Q10" s="9" t="str">
        <x:v>paper:867771291879342656::conclusion_3</x:v>
      </x:c>
      <x:c r="R10" s="9" t="str"/>
      <x:c r="S10" s="9" t="str">
        <x:v>01_paper_sample_one_ticket/clean_claims_and_relations.json; paper_text_ocr_cleaned.md</x:v>
      </x:c>
      <x:c r="T10" s="9" t="str">
        <x:v>$.assertions[?(@.id=="A011")]</x:v>
      </x:c>
      <x:c r="U10" s="9" t="str">
        <x:v>否</x:v>
      </x:c>
      <x:c r="V10" s="9" t="str"/>
      <x:c r="W10" s="9" t="str">
        <x:v>已定位原文；待句级复核</x:v>
      </x:c>
      <x:c r="X10" s="9" t="str"/>
    </x:row>
    <x:row r="11" ht="72" customHeight="1">
      <x:c r="A11" s="9" t="str">
        <x:v>OTWTA-CLM-A012</x:v>
      </x:c>
      <x:c r="B11" s="9" t="str">
        <x:v>clean_claims</x:v>
      </x:c>
      <x:c r="C11" s="9" t="str">
        <x:v>A012</x:v>
      </x:c>
      <x:c r="D11" s="9" t="str"/>
      <x:c r="E11" s="9" t="str">
        <x:v>OTWTA-C03</x:v>
      </x:c>
      <x:c r="F11" s="9" t="str">
        <x:v>使用带动量的SGD或Adam发现的VGG19中奖彩票，在改用另一种优化器重新使用时，能取得与在目标优化器下直接发现的中奖彩票相当的高性能。</x:v>
      </x:c>
      <x:c r="G11" s="9" t="str">
        <x:v>VGG19 tickets found using SGD with momentum or using Adam, when re-used with the alternate optimizer, achieve high performance that is comparable to tickets discovered under the target optimizer.</x:v>
      </x:c>
      <x:c r="H11" s="9" t="str">
        <x:v>使用带动量的SGD或Adam发现的VGG19中奖彩票，在改用另一种优化器重新使用时，能取得与在目标优化器下直接发现的中奖彩票相当的高性能。</x:v>
      </x:c>
      <x:c r="I11" s="9" t="str">
        <x:v>观察</x:v>
      </x:c>
      <x:c r="J11" s="9" t="str">
        <x:v>直接/近直接经验陈述</x:v>
      </x:c>
      <x:c r="K11" s="9" t="str">
        <x:v>证据命题</x:v>
      </x:c>
      <x:c r="L11" s="9" t="str">
        <x:v>§4.3 跨优化器迁移</x:v>
      </x:c>
      <x:c r="M11" s="9" t="str">
        <x:v>Fig. 5</x:v>
      </x:c>
      <x:c r="N11" s="9" t="str">
        <x:v>L150-L159（核心：L153）</x:v>
      </x:c>
      <x:c r="O11"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11" s="9" t="str">
        <x:v>VGG 模型的迁移彩票取得了与源优化器产生的彩票相近的性能。从 SGD 迁移到 Adam 的彩票在低剪枝比例下不如随机彩票，但在高剪枝比例下明显优于随机彩票。</x:v>
      </x:c>
      <x:c r="Q11" s="9" t="str">
        <x:v>paper:867771291879342656::conclusion_3</x:v>
      </x:c>
      <x:c r="R11" s="9" t="str"/>
      <x:c r="S11" s="9" t="str">
        <x:v>01_paper_sample_one_ticket/clean_claims_and_relations.json; paper_text_ocr_cleaned.md</x:v>
      </x:c>
      <x:c r="T11" s="9" t="str">
        <x:v>$.assertions[?(@.id=="A012")]</x:v>
      </x:c>
      <x:c r="U11" s="9" t="str">
        <x:v>否</x:v>
      </x:c>
      <x:c r="V11" s="9" t="str"/>
      <x:c r="W11" s="9" t="str">
        <x:v>需核对图中读数</x:v>
      </x:c>
      <x:c r="X11" s="9" t="str"/>
    </x:row>
    <x:row r="12" ht="72" customHeight="1">
      <x:c r="A12" s="9" t="str">
        <x:v>OTWTA-CLM-A013</x:v>
      </x:c>
      <x:c r="B12" s="9" t="str">
        <x:v>clean_claims</x:v>
      </x:c>
      <x:c r="C12" s="9" t="str">
        <x:v>A013</x:v>
      </x:c>
      <x:c r="D12" s="9" t="str"/>
      <x:c r="E12" s="9" t="str">
        <x:v>OTWTA-C03</x:v>
      </x:c>
      <x:c r="F12" s="9" t="str">
        <x:v>在这种（A011所描述的）迁移行为中，存在与优化器相关的细微差异。</x:v>
      </x:c>
      <x:c r="G12" s="9" t="str">
        <x:v>There are optimizer-dependent nuances in behavior (the transfer behavior described by A011).</x:v>
      </x:c>
      <x:c r="H12" s="9" t="str">
        <x:v>在这种（A011所描述的）迁移行为中，存在与优化器相关的细微差异。</x:v>
      </x:c>
      <x:c r="I12" s="9" t="str">
        <x:v>结论</x:v>
      </x:c>
      <x:c r="J12" s="9" t="str">
        <x:v>作者归纳或解释</x:v>
      </x:c>
      <x:c r="K12" s="9" t="str">
        <x:v>限定性结论</x:v>
      </x:c>
      <x:c r="L12" s="9" t="str">
        <x:v>§4.3 跨优化器迁移</x:v>
      </x:c>
      <x:c r="M12" s="9" t="str">
        <x:v>Fig. 5</x:v>
      </x:c>
      <x:c r="N12" s="9" t="str">
        <x:v>L150-L159（核心：L153）</x:v>
      </x:c>
      <x:c r="O12"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12" s="9" t="str">
        <x:v>VGG 模型的迁移彩票取得了与源优化器产生的彩票相近的性能。从 SGD 迁移到 Adam 的彩票在低剪枝比例下不如随机彩票，但在高剪枝比例下明显优于随机彩票。</x:v>
      </x:c>
      <x:c r="Q12" s="9" t="str">
        <x:v>paper:867771291879342656::conclusion_3</x:v>
      </x:c>
      <x:c r="R12" s="9" t="str"/>
      <x:c r="S12" s="9" t="str">
        <x:v>01_paper_sample_one_ticket/clean_claims_and_relations.json; paper_text_ocr_cleaned.md</x:v>
      </x:c>
      <x:c r="T12" s="9" t="str">
        <x:v>$.assertions[?(@.id=="A013")]</x:v>
      </x:c>
      <x:c r="U12" s="9" t="str">
        <x:v>否</x:v>
      </x:c>
      <x:c r="V12" s="9" t="str"/>
      <x:c r="W12" s="9" t="str">
        <x:v>已定位原文；待句级复核</x:v>
      </x:c>
      <x:c r="X12" s="9" t="str"/>
    </x:row>
    <x:row r="13" ht="72" customHeight="1">
      <x:c r="A13" s="9" t="str">
        <x:v>OTWTA-CLM-A014</x:v>
      </x:c>
      <x:c r="B13" s="9" t="str">
        <x:v>clean_claims</x:v>
      </x:c>
      <x:c r="C13" s="9" t="str">
        <x:v>A014</x:v>
      </x:c>
      <x:c r="D13" s="9" t="str"/>
      <x:c r="E13" s="9" t="str">
        <x:v>OTWTA-C03</x:v>
      </x:c>
      <x:c r="F13" s="9" t="str">
        <x:v>从SGD迁移到Adam的中奖彩票，在低剪枝比例下有时表现不及随机彩票，但在高剪枝比例下则优于随机彩票。</x:v>
      </x:c>
      <x:c r="G13" s="9" t="str">
        <x:v>Tickets transferred from SGD to Adam sometimes under-perform random tickets at low pruning fractions but outperform random tickets at high pruning fractions.</x:v>
      </x:c>
      <x:c r="H13" s="9" t="str">
        <x:v>从SGD迁移到Adam的中奖彩票，在低剪枝比例下有时表现不及随机彩票，但在高剪枝比例下则优于随机彩票。</x:v>
      </x:c>
      <x:c r="I13" s="9" t="str">
        <x:v>观察</x:v>
      </x:c>
      <x:c r="J13" s="9" t="str">
        <x:v>直接/近直接经验陈述</x:v>
      </x:c>
      <x:c r="K13" s="9" t="str">
        <x:v>反例/限定</x:v>
      </x:c>
      <x:c r="L13" s="9" t="str">
        <x:v>§4.3 跨优化器迁移</x:v>
      </x:c>
      <x:c r="M13" s="9" t="str">
        <x:v>Fig. 5</x:v>
      </x:c>
      <x:c r="N13" s="9" t="str">
        <x:v>L150-L159（核心：L153）</x:v>
      </x:c>
      <x:c r="O13"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13" s="9" t="str">
        <x:v>VGG 模型的迁移彩票取得了与源优化器产生的彩票相近的性能。从 SGD 迁移到 Adam 的彩票在低剪枝比例下不如随机彩票，但在高剪枝比例下明显优于随机彩票。</x:v>
      </x:c>
      <x:c r="Q13" s="9" t="str">
        <x:v>paper:867771291879342656::conclusion_3</x:v>
      </x:c>
      <x:c r="R13" s="9" t="str"/>
      <x:c r="S13" s="9" t="str">
        <x:v>01_paper_sample_one_ticket/clean_claims_and_relations.json; paper_text_ocr_cleaned.md</x:v>
      </x:c>
      <x:c r="T13" s="9" t="str">
        <x:v>$.assertions[?(@.id=="A014")]</x:v>
      </x:c>
      <x:c r="U13" s="9" t="str">
        <x:v>否</x:v>
      </x:c>
      <x:c r="V13" s="9" t="str"/>
      <x:c r="W13" s="9" t="str">
        <x:v>需核对图中读数</x:v>
      </x:c>
      <x:c r="X13" s="9" t="str"/>
    </x:row>
    <x:row r="14" ht="72" customHeight="1">
      <x:c r="A14" s="9" t="str">
        <x:v>OTWTA-CLM-A015</x:v>
      </x:c>
      <x:c r="B14" s="9" t="str">
        <x:v>clean_claims</x:v>
      </x:c>
      <x:c r="C14" s="9" t="str">
        <x:v>A015</x:v>
      </x:c>
      <x:c r="D14" s="9" t="str"/>
      <x:c r="E14" s="9" t="str">
        <x:v>OTWTA-C04</x:v>
      </x:c>
      <x:c r="F14" s="9" t="str">
        <x:v>在CIFAR-10a（CIFAR-10数据集的一个子集，包含25,000张训练图像，每个类别2,500张）上发现的中奖彩票，能够迁移到来自同一数据分布的不相交子集CIFAR-10b，并相对于随机稀疏初始化改善了该保留子集上的训练效果。</x:v>
      </x:c>
      <x:c r="G14" s="9" t="str">
        <x:v>A winning ticket discovered on CIFAR-10a (a subset of the CIFAR-10 dataset containing 25,000 training images with 2,500 images per class) transfers to a disjoint subset CIFAR-10b from the same data distribution and improves training on that held-out subset relative to random sparse initializations.</x:v>
      </x:c>
      <x:c r="H14" s="9" t="str">
        <x:v>在CIFAR-10a（CIFAR-10数据集的一个子集，包含25,000张训练图像，每个类别2,500张）上发现的中奖彩票，能够迁移到来自同一数据分布的不相交子集CIFAR-10b，并相对于随机稀疏初始化改善了该保留子集上的训练效果。</x:v>
      </x:c>
      <x:c r="I14" s="9" t="str">
        <x:v>观察</x:v>
      </x:c>
      <x:c r="J14" s="9" t="str">
        <x:v>直接/近直接经验陈述</x:v>
      </x:c>
      <x:c r="K14" s="9" t="str">
        <x:v>证据命题</x:v>
      </x:c>
      <x:c r="L14" s="9" t="str">
        <x:v>§4.1 同一数据分布内迁移</x:v>
      </x:c>
      <x:c r="M14" s="9" t="str">
        <x:v>Fig. 2</x:v>
      </x:c>
      <x:c r="N14" s="9" t="str">
        <x:v>L102-L111</x:v>
      </x:c>
      <x:c r="O14" s="9" t="str">
        <x:v>We then asked whether winning tickets generated using CIFAR-10a would produce increased performance on CIFAR-10b. ... For ResNet50 models ... both under-performed random tickets at low pruning fractions.</x:v>
      </x:c>
      <x:c r="P14" s="9" t="str">
        <x:v>随后我们询问，使用 CIFAR-10a 产生的彩票能否提高 CIFAR-10b 上的性能。对于 ResNet50，两类彩票在低剪枝比例下都不如随机彩票。</x:v>
      </x:c>
      <x:c r="Q14" s="9" t="str">
        <x:v>paper:867771291879342656::conclusion_4</x:v>
      </x:c>
      <x:c r="R14" s="9" t="str"/>
      <x:c r="S14" s="9" t="str">
        <x:v>01_paper_sample_one_ticket/clean_claims_and_relations.json; paper_text_ocr_cleaned.md</x:v>
      </x:c>
      <x:c r="T14" s="9" t="str">
        <x:v>$.assertions[?(@.id=="A015")]</x:v>
      </x:c>
      <x:c r="U14" s="9" t="str">
        <x:v>否</x:v>
      </x:c>
      <x:c r="V14" s="9" t="str"/>
      <x:c r="W14" s="9" t="str">
        <x:v>需核对图中读数</x:v>
      </x:c>
      <x:c r="X14" s="9" t="str"/>
    </x:row>
    <x:row r="15" ht="72" customHeight="1">
      <x:c r="A15" s="9" t="str">
        <x:v>OTWTA-CLM-A016</x:v>
      </x:c>
      <x:c r="B15" s="9" t="str">
        <x:v>clean_claims</x:v>
      </x:c>
      <x:c r="C15" s="9" t="str">
        <x:v>A016</x:v>
      </x:c>
      <x:c r="D15" s="9" t="str"/>
      <x:c r="E15" s="9" t="str">
        <x:v>OTWTA-C04</x:v>
      </x:c>
      <x:c r="F15" s="9" t="str">
        <x:v>这种（A015所描述的）分布内迁移在VGG19和ResNet50上都成立。</x:v>
      </x:c>
      <x:c r="G15" s="9" t="str">
        <x:v>This within-distribution transfer (the transfer described by A015) holds for both VGG19 and ResNet50.</x:v>
      </x:c>
      <x:c r="H15" s="9" t="str">
        <x:v>这种（A015所描述的）分布内迁移在VGG19和ResNet50上都成立。</x:v>
      </x:c>
      <x:c r="I15" s="9" t="str">
        <x:v>观察</x:v>
      </x:c>
      <x:c r="J15" s="9" t="str">
        <x:v>直接/近直接经验陈述</x:v>
      </x:c>
      <x:c r="K15" s="9" t="str">
        <x:v>证据命题</x:v>
      </x:c>
      <x:c r="L15" s="9" t="str">
        <x:v>§4.1 同一数据分布内迁移</x:v>
      </x:c>
      <x:c r="M15" s="9" t="str">
        <x:v>Fig. 2</x:v>
      </x:c>
      <x:c r="N15" s="9" t="str">
        <x:v>L102-L111</x:v>
      </x:c>
      <x:c r="O15" s="9" t="str">
        <x:v>We then asked whether winning tickets generated using CIFAR-10a would produce increased performance on CIFAR-10b. ... For ResNet50 models ... both under-performed random tickets at low pruning fractions.</x:v>
      </x:c>
      <x:c r="P15" s="9" t="str">
        <x:v>随后我们询问，使用 CIFAR-10a 产生的彩票能否提高 CIFAR-10b 上的性能。对于 ResNet50，两类彩票在低剪枝比例下都不如随机彩票。</x:v>
      </x:c>
      <x:c r="Q15" s="9" t="str">
        <x:v>paper:867771291879342656::conclusion_4</x:v>
      </x:c>
      <x:c r="R15" s="9" t="str"/>
      <x:c r="S15" s="9" t="str">
        <x:v>01_paper_sample_one_ticket/clean_claims_and_relations.json; paper_text_ocr_cleaned.md</x:v>
      </x:c>
      <x:c r="T15" s="9" t="str">
        <x:v>$.assertions[?(@.id=="A016")]</x:v>
      </x:c>
      <x:c r="U15" s="9" t="str">
        <x:v>否</x:v>
      </x:c>
      <x:c r="V15" s="9" t="str"/>
      <x:c r="W15" s="9" t="str">
        <x:v>需核对图中读数</x:v>
      </x:c>
      <x:c r="X15" s="9" t="str"/>
    </x:row>
    <x:row r="16" ht="72" customHeight="1">
      <x:c r="A16" s="9" t="str">
        <x:v>OTWTA-CLM-A017</x:v>
      </x:c>
      <x:c r="B16" s="9" t="str">
        <x:v>clean_claims</x:v>
      </x:c>
      <x:c r="C16" s="9" t="str">
        <x:v>A017</x:v>
      </x:c>
      <x:c r="D16" s="9" t="str"/>
      <x:c r="E16" s="9" t="str">
        <x:v>OTWTA-C04</x:v>
      </x:c>
      <x:c r="F16" s="9" t="str">
        <x:v>ResNet50在低剪枝比例下表现出一定的敏感性，在剪枝权重较少时偶尔会不及随机彩票的表现。</x:v>
      </x:c>
      <x:c r="G16" s="9" t="str">
        <x:v>ResNet50 showed sensitivity at low pruning fractions, occasionally under-performing random tickets when few weights are pruned.</x:v>
      </x:c>
      <x:c r="H16" s="9" t="str">
        <x:v>ResNet50在低剪枝比例下表现出一定的敏感性，在剪枝权重较少时偶尔会不及随机彩票的表现。</x:v>
      </x:c>
      <x:c r="I16" s="9" t="str">
        <x:v>观察</x:v>
      </x:c>
      <x:c r="J16" s="9" t="str">
        <x:v>直接/近直接经验陈述</x:v>
      </x:c>
      <x:c r="K16" s="9" t="str">
        <x:v>反例/限定</x:v>
      </x:c>
      <x:c r="L16" s="9" t="str">
        <x:v>§4.1 同一数据分布内迁移</x:v>
      </x:c>
      <x:c r="M16" s="9" t="str">
        <x:v>Fig. 2</x:v>
      </x:c>
      <x:c r="N16" s="9" t="str">
        <x:v>L102-L111</x:v>
      </x:c>
      <x:c r="O16" s="9" t="str">
        <x:v>We then asked whether winning tickets generated using CIFAR-10a would produce increased performance on CIFAR-10b. ... For ResNet50 models ... both under-performed random tickets at low pruning fractions.</x:v>
      </x:c>
      <x:c r="P16" s="9" t="str">
        <x:v>随后我们询问，使用 CIFAR-10a 产生的彩票能否提高 CIFAR-10b 上的性能。对于 ResNet50，两类彩票在低剪枝比例下都不如随机彩票。</x:v>
      </x:c>
      <x:c r="Q16" s="9" t="str">
        <x:v>paper:867771291879342656::conclusion_4</x:v>
      </x:c>
      <x:c r="R16" s="9" t="str">
        <x:v>paper:867771291879342656::conclusion_4（对“无条件成立”的宽泛版本构成限定）</x:v>
      </x:c>
      <x:c r="S16" s="9" t="str">
        <x:v>01_paper_sample_one_ticket/clean_claims_and_relations.json; paper_text_ocr_cleaned.md</x:v>
      </x:c>
      <x:c r="T16" s="9" t="str">
        <x:v>$.assertions[?(@.id=="A017")]</x:v>
      </x:c>
      <x:c r="U16" s="9" t="str">
        <x:v>否</x:v>
      </x:c>
      <x:c r="V16" s="9" t="str"/>
      <x:c r="W16" s="9" t="str">
        <x:v>需核对图中读数</x:v>
      </x:c>
      <x:c r="X16" s="9" t="str"/>
    </x:row>
    <x:row r="17" ht="72" customHeight="1">
      <x:c r="A17" s="9" t="str">
        <x:v>OTWTA-CLM-A018</x:v>
      </x:c>
      <x:c r="B17" s="9" t="str">
        <x:v>clean_claims</x:v>
      </x:c>
      <x:c r="C17" s="9" t="str">
        <x:v>A018</x:v>
      </x:c>
      <x:c r="D17" s="9" t="str"/>
      <x:c r="E17" s="9" t="str">
        <x:v>OTWTA-C05</x:v>
      </x:c>
      <x:c r="F17" s="9" t="str">
        <x:v>在CIFAR-10上训练VGG19进行中奖彩票发现的量级剪枝过程中，跨所有层全局排序权重并全局剪除最小量级的权重，比按每层固定比例剪枝（“逐层剪枝”）产生了性能更高的稀疏子网络。</x:v>
      </x:c>
      <x:c r="G17" s="9" t="str">
        <x:v>When performing magnitude pruning for winning-ticket discovery on VGG19 trained on CIFAR-10, globally ranking weights across all layers and pruning the smallest-magnitude weights globally yields higher-performing sparse subnetworks than pruning a fixed fraction per layer ("layerwise pruning").</x:v>
      </x:c>
      <x:c r="H17" s="9" t="str">
        <x:v>在CIFAR-10上训练VGG19进行中奖彩票发现的量级剪枝过程中，跨所有层全局排序权重并全局剪除最小量级的权重，比按每层固定比例剪枝（“逐层剪枝”）产生了性能更高的稀疏子网络。</x:v>
      </x:c>
      <x:c r="I17" s="9" t="str">
        <x:v>观察</x:v>
      </x:c>
      <x:c r="J17" s="9" t="str">
        <x:v>直接/近直接经验陈述</x:v>
      </x:c>
      <x:c r="K17" s="9" t="str">
        <x:v>比较观测</x:v>
      </x:c>
      <x:c r="L17" s="9" t="str">
        <x:v>§3.1 彩票假说——全局剪枝</x:v>
      </x:c>
      <x:c r="M17" s="9" t="str">
        <x:v>Fig. 1</x:v>
      </x:c>
      <x:c r="N17" s="9" t="str">
        <x:v>L77-L80</x:v>
      </x:c>
      <x:c r="O17" s="9" t="str">
        <x:v>We observed that global pruning leads to higher performance than local pruning. ... Global magnitude pruning preferentially prunes weights in deeper layers, leaving the first layer in particular relatively unpruned.</x:v>
      </x:c>
      <x:c r="P17" s="9" t="str">
        <x:v>我们观察到，全局剪枝比逐层剪枝取得更高性能。全局量级剪枝倾向于更多剪除深层权重，而第一层尤其保留了较多参数。</x:v>
      </x:c>
      <x:c r="Q17" s="9" t="str">
        <x:v>paper:867771291879342656::conclusion_5</x:v>
      </x:c>
      <x:c r="R17" s="9" t="str"/>
      <x:c r="S17" s="9" t="str">
        <x:v>01_paper_sample_one_ticket/clean_claims_and_relations.json; paper_text_ocr_cleaned.md</x:v>
      </x:c>
      <x:c r="T17" s="9" t="str">
        <x:v>$.assertions[?(@.id=="A018")]</x:v>
      </x:c>
      <x:c r="U17" s="9" t="str">
        <x:v>否</x:v>
      </x:c>
      <x:c r="V17" s="9" t="str"/>
      <x:c r="W17" s="9" t="str">
        <x:v>需核对图中读数</x:v>
      </x:c>
      <x:c r="X17" s="9" t="str"/>
    </x:row>
    <x:row r="18" ht="72" customHeight="1">
      <x:c r="A18" s="9" t="str">
        <x:v>OTWTA-CLM-A019</x:v>
      </x:c>
      <x:c r="B18" s="9" t="str">
        <x:v>clean_claims</x:v>
      </x:c>
      <x:c r="C18" s="9" t="str">
        <x:v>A019</x:v>
      </x:c>
      <x:c r="D18" s="9" t="str"/>
      <x:c r="E18" s="9" t="str">
        <x:v>OTWTA-C05</x:v>
      </x:c>
      <x:c r="F18" s="9" t="str">
        <x:v>在全局量级剪枝下，各层的剪枝比例存在差异：更深的卷积层被剪除得更多，而较早的层（尤其是第一个卷积层）保留了远大比例的参数。</x:v>
      </x:c>
      <x:c r="G18" s="9" t="str">
        <x:v>Under global magnitude pruning the pruning fractions vary across layers: deeper convolutional layers are pruned more heavily while early layers (notably the first convolutional layer) retain a much larger fraction of their parameters.</x:v>
      </x:c>
      <x:c r="H18" s="9" t="str">
        <x:v>在全局量级剪枝下，各层的剪枝比例存在差异：更深的卷积层被剪除得更多，而较早的层（尤其是第一个卷积层）保留了远大比例的参数。</x:v>
      </x:c>
      <x:c r="I18" s="9" t="str">
        <x:v>观察</x:v>
      </x:c>
      <x:c r="J18" s="9" t="str">
        <x:v>直接/近直接经验陈述</x:v>
      </x:c>
      <x:c r="K18" s="9" t="str">
        <x:v>结构观测</x:v>
      </x:c>
      <x:c r="L18" s="9" t="str">
        <x:v>§3.1 彩票假说——全局剪枝</x:v>
      </x:c>
      <x:c r="M18" s="9" t="str">
        <x:v>Fig. 1</x:v>
      </x:c>
      <x:c r="N18" s="9" t="str">
        <x:v>L77-L80</x:v>
      </x:c>
      <x:c r="O18" s="9" t="str">
        <x:v>We observed that global pruning leads to higher performance than local pruning. ... Global magnitude pruning preferentially prunes weights in deeper layers, leaving the first layer in particular relatively unpruned.</x:v>
      </x:c>
      <x:c r="P18" s="9" t="str">
        <x:v>我们观察到，全局剪枝比逐层剪枝取得更高性能。全局量级剪枝倾向于更多剪除深层权重，而第一层尤其保留了较多参数。</x:v>
      </x:c>
      <x:c r="Q18" s="9" t="str">
        <x:v>paper:867771291879342656::conclusion_5</x:v>
      </x:c>
      <x:c r="R18" s="9" t="str"/>
      <x:c r="S18" s="9" t="str">
        <x:v>01_paper_sample_one_ticket/clean_claims_and_relations.json; paper_text_ocr_cleaned.md</x:v>
      </x:c>
      <x:c r="T18" s="9" t="str">
        <x:v>$.assertions[?(@.id=="A019")]</x:v>
      </x:c>
      <x:c r="U18" s="9" t="str">
        <x:v>否</x:v>
      </x:c>
      <x:c r="V18" s="9" t="str"/>
      <x:c r="W18" s="9" t="str">
        <x:v>需核对图中读数</x:v>
      </x:c>
      <x:c r="X18" s="9" t="str"/>
    </x:row>
    <x:row r="19" ht="72" customHeight="1">
      <x:c r="A19" s="9" t="str">
        <x:v>OTWTA-CLM-A020</x:v>
      </x:c>
      <x:c r="B19" s="9" t="str">
        <x:v>clean_claims</x:v>
      </x:c>
      <x:c r="C19" s="9" t="str">
        <x:v>A020</x:v>
      </x:c>
      <x:c r="D19" s="9" t="str"/>
      <x:c r="E19" s="9" t="str">
        <x:v>OTWTA-C06</x:v>
      </x:c>
      <x:c r="F19" s="9" t="str">
        <x:v>对于在CIFAR-10上训练的VGG19，剪枝掩码的结构包含了对训练稀疏网络有用的大量信息。</x:v>
      </x:c>
      <x:c r="G19" s="9" t="str">
        <x:v>For VGG19 trained on CIFAR-10, the structure of the pruning mask contains substantial information useful for training sparse networks.</x:v>
      </x:c>
      <x:c r="H19" s="9" t="str">
        <x:v>对于在CIFAR-10上训练的VGG19，剪枝掩码的结构包含了对训练稀疏网络有用的大量信息。</x:v>
      </x:c>
      <x:c r="I19" s="9" t="str">
        <x:v>结论</x:v>
      </x:c>
      <x:c r="J19" s="9" t="str">
        <x:v>作者归纳或解释</x:v>
      </x:c>
      <x:c r="K19" s="9" t="str">
        <x:v>结论分解</x:v>
      </x:c>
      <x:c r="L19" s="9" t="str">
        <x:v>§3.1 随机掩码; Appendix A.2 随机化掩码</x:v>
      </x:c>
      <x:c r="M19" s="9" t="str">
        <x:v>Fig. A1（并参照 Fig. 1）</x:v>
      </x:c>
      <x:c r="N19" s="9" t="str">
        <x:v>L83; L242-L261（核心：L258-L261）</x:v>
      </x:c>
      <x:c r="O19" s="9" t="str">
        <x:v>While locally permuting masks damaged performance somewhat, globally permuting the mask results in dramatically worse performance, suggesting that the layerwise statistics derived from training the over-parameterized model are very informative.</x:v>
      </x:c>
      <x:c r="P19" s="9" t="str">
        <x:v>层内置换掩码会在一定程度上损害性能，而全局置换掩码会使性能显著恶化，这表明从过参数化模型训练中得到的逐层统计包含大量信息。</x:v>
      </x:c>
      <x:c r="Q19" s="9" t="str">
        <x:v>paper:867771291879342656::conclusion_6</x:v>
      </x:c>
      <x:c r="R19" s="9" t="str"/>
      <x:c r="S19" s="9" t="str">
        <x:v>01_paper_sample_one_ticket/clean_claims_and_relations.json; paper_text_ocr_cleaned.md</x:v>
      </x:c>
      <x:c r="T19" s="9" t="str">
        <x:v>$.assertions[?(@.id=="A020")]</x:v>
      </x:c>
      <x:c r="U19" s="9" t="str">
        <x:v>否</x:v>
      </x:c>
      <x:c r="V19" s="9" t="str"/>
      <x:c r="W19" s="9" t="str">
        <x:v>已定位原文；待句级复核</x:v>
      </x:c>
      <x:c r="X19" s="9" t="str"/>
    </x:row>
    <x:row r="20" ht="72" customHeight="1">
      <x:c r="A20" s="9" t="str">
        <x:v>OTWTA-CLM-A021</x:v>
      </x:c>
      <x:c r="B20" s="9" t="str">
        <x:v>clean_claims</x:v>
      </x:c>
      <x:c r="C20" s="9" t="str">
        <x:v>A021</x:v>
      </x:c>
      <x:c r="D20" s="9" t="str"/>
      <x:c r="E20" s="9" t="str">
        <x:v>OTWTA-C06</x:v>
      </x:c>
      <x:c r="F20" s="9" t="str">
        <x:v>对于在CIFAR-10上训练的VGG19，局部置换中奖彩票掩码（即仅在每一层内部对掩码进行置换）会使性能出现中等程度的下降，而全局置换中奖彩票掩码（即跨所有层对掩码进行置换）则会使性能大幅下降。</x:v>
      </x:c>
      <x:c r="G20" s="9" t="str">
        <x:v>For VGG19 trained on CIFAR-10, locally permuting a winning-ticket mask (permuting the mask only within each layer) degrades performance moderately, while globally permuting the winning-ticket mask (permuting the mask across all layers) degrades performance dramatically.</x:v>
      </x:c>
      <x:c r="H20" s="9" t="str">
        <x:v>对于在CIFAR-10上训练的VGG19，局部置换中奖彩票掩码（即仅在每一层内部对掩码进行置换）会使性能出现中等程度的下降，而全局置换中奖彩票掩码（即跨所有层对掩码进行置换）则会使性能大幅下降。</x:v>
      </x:c>
      <x:c r="I20" s="9" t="str">
        <x:v>观察</x:v>
      </x:c>
      <x:c r="J20" s="9" t="str">
        <x:v>直接/近直接经验陈述</x:v>
      </x:c>
      <x:c r="K20" s="9" t="str">
        <x:v>消融观测</x:v>
      </x:c>
      <x:c r="L20" s="9" t="str">
        <x:v>§3.1 随机掩码; Appendix A.2 随机化掩码</x:v>
      </x:c>
      <x:c r="M20" s="9" t="str">
        <x:v>Fig. A1（并参照 Fig. 1）</x:v>
      </x:c>
      <x:c r="N20" s="9" t="str">
        <x:v>L83; L242-L261（核心：L258-L261）</x:v>
      </x:c>
      <x:c r="O20" s="9" t="str">
        <x:v>While locally permuting masks damaged performance somewhat, globally permuting the mask results in dramatically worse performance, suggesting that the layerwise statistics derived from training the over-parameterized model are very informative.</x:v>
      </x:c>
      <x:c r="P20" s="9" t="str">
        <x:v>层内置换掩码会在一定程度上损害性能，而全局置换掩码会使性能显著恶化，这表明从过参数化模型训练中得到的逐层统计包含大量信息。</x:v>
      </x:c>
      <x:c r="Q20" s="9" t="str">
        <x:v>paper:867771291879342656::conclusion_6</x:v>
      </x:c>
      <x:c r="R20" s="9" t="str"/>
      <x:c r="S20" s="9" t="str">
        <x:v>01_paper_sample_one_ticket/clean_claims_and_relations.json; paper_text_ocr_cleaned.md</x:v>
      </x:c>
      <x:c r="T20" s="9" t="str">
        <x:v>$.assertions[?(@.id=="A021")]</x:v>
      </x:c>
      <x:c r="U20" s="9" t="str">
        <x:v>否</x:v>
      </x:c>
      <x:c r="V20" s="9" t="str"/>
      <x:c r="W20" s="9" t="str">
        <x:v>需核对图中读数</x:v>
      </x:c>
      <x:c r="X20" s="9" t="str"/>
    </x:row>
    <x:row r="21" ht="72" customHeight="1">
      <x:c r="A21" s="9" t="str">
        <x:v>OTWTA-CLM-A022</x:v>
      </x:c>
      <x:c r="B21" s="9" t="str">
        <x:v>clean_claims</x:v>
      </x:c>
      <x:c r="C21" s="9" t="str">
        <x:v>A022</x:v>
      </x:c>
      <x:c r="D21" s="9" t="str"/>
      <x:c r="E21" s="9" t="str">
        <x:v>OTWTA-C06</x:v>
      </x:c>
      <x:c r="F21" s="9" t="str">
        <x:v>剪枝掩码的结构本身包含了对训练稀疏网络有用的重要信息。</x:v>
      </x:c>
      <x:c r="G21" s="9" t="str">
        <x:v>The structure of the pruning mask contains substantial information useful for training sparse networks.</x:v>
      </x:c>
      <x:c r="H21" s="9" t="str">
        <x:v>剪枝掩码的结构本身包含了对训练稀疏网络有用的重要信息。</x:v>
      </x:c>
      <x:c r="I21" s="9" t="str">
        <x:v>结论</x:v>
      </x:c>
      <x:c r="J21" s="9" t="str">
        <x:v>作者归纳或解释</x:v>
      </x:c>
      <x:c r="K21" s="9" t="str">
        <x:v>结论分解</x:v>
      </x:c>
      <x:c r="L21" s="9" t="str">
        <x:v>§3.1 随机掩码; Appendix A.2 随机化掩码</x:v>
      </x:c>
      <x:c r="M21" s="9" t="str">
        <x:v>Fig. A1（并参照 Fig. 1）</x:v>
      </x:c>
      <x:c r="N21" s="9" t="str">
        <x:v>L83; L242-L261（核心：L258-L261）</x:v>
      </x:c>
      <x:c r="O21" s="9" t="str">
        <x:v>While locally permuting masks damaged performance somewhat, globally permuting the mask results in dramatically worse performance, suggesting that the layerwise statistics derived from training the over-parameterized model are very informative.</x:v>
      </x:c>
      <x:c r="P21" s="9" t="str">
        <x:v>层内置换掩码会在一定程度上损害性能，而全局置换掩码会使性能显著恶化，这表明从过参数化模型训练中得到的逐层统计包含大量信息。</x:v>
      </x:c>
      <x:c r="Q21" s="9" t="str">
        <x:v>paper:867771291879342656::conclusion_6</x:v>
      </x:c>
      <x:c r="R21" s="9" t="str"/>
      <x:c r="S21" s="9" t="str">
        <x:v>01_paper_sample_one_ticket/clean_claims_and_relations.json; paper_text_ocr_cleaned.md</x:v>
      </x:c>
      <x:c r="T21" s="9" t="str">
        <x:v>$.assertions[?(@.id=="A022")]</x:v>
      </x:c>
      <x:c r="U21" s="9" t="str">
        <x:v>否</x:v>
      </x:c>
      <x:c r="V21" s="9" t="str"/>
      <x:c r="W21" s="9" t="str">
        <x:v>已定位原文；待句级复核</x:v>
      </x:c>
      <x:c r="X21" s="9" t="str"/>
    </x:row>
    <x:row r="22" ht="72" customHeight="1">
      <x:c r="A22" s="9" t="str">
        <x:v>OTWTA-CLM-A023</x:v>
      </x:c>
      <x:c r="B22" s="9" t="str">
        <x:v>clean_claims</x:v>
      </x:c>
      <x:c r="C22" s="9" t="str">
        <x:v>A023</x:v>
      </x:c>
      <x:c r="D22" s="9" t="str"/>
      <x:c r="E22" s="9" t="str">
        <x:v>OTWTA-C06</x:v>
      </x:c>
      <x:c r="F22" s="9" t="str">
        <x:v>跨层保留掩码统计信息，会将已发现彩票中的信息迁移过去。</x:v>
      </x:c>
      <x:c r="G22" s="9" t="str">
        <x:v>Preserving mask statistics across layers transfers information from the discovered ticket.</x:v>
      </x:c>
      <x:c r="H22" s="9" t="str">
        <x:v>跨层保留掩码统计信息，会将已发现彩票中的信息迁移过去。</x:v>
      </x:c>
      <x:c r="I22" s="9" t="str">
        <x:v>结论</x:v>
      </x:c>
      <x:c r="J22" s="9" t="str">
        <x:v>作者归纳或解释</x:v>
      </x:c>
      <x:c r="K22" s="9" t="str">
        <x:v>机制解释</x:v>
      </x:c>
      <x:c r="L22" s="9" t="str">
        <x:v>§3.1 随机掩码; Appendix A.2 随机化掩码</x:v>
      </x:c>
      <x:c r="M22" s="9" t="str">
        <x:v>Fig. A1（并参照 Fig. 1）</x:v>
      </x:c>
      <x:c r="N22" s="9" t="str">
        <x:v>L83; L242-L261（核心：L258-L261）</x:v>
      </x:c>
      <x:c r="O22" s="9" t="str">
        <x:v>While locally permuting masks damaged performance somewhat, globally permuting the mask results in dramatically worse performance, suggesting that the layerwise statistics derived from training the over-parameterized model are very informative.</x:v>
      </x:c>
      <x:c r="P22" s="9" t="str">
        <x:v>层内置换掩码会在一定程度上损害性能，而全局置换掩码会使性能显著恶化，这表明从过参数化模型训练中得到的逐层统计包含大量信息。</x:v>
      </x:c>
      <x:c r="Q22" s="9" t="str">
        <x:v>paper:867771291879342656::conclusion_6</x:v>
      </x:c>
      <x:c r="R22" s="9" t="str"/>
      <x:c r="S22" s="9" t="str">
        <x:v>01_paper_sample_one_ticket/clean_claims_and_relations.json; paper_text_ocr_cleaned.md</x:v>
      </x:c>
      <x:c r="T22" s="9" t="str">
        <x:v>$.assertions[?(@.id=="A023")]</x:v>
      </x:c>
      <x:c r="U22" s="9" t="str">
        <x:v>否</x:v>
      </x:c>
      <x:c r="V22" s="9" t="str"/>
      <x:c r="W22" s="9" t="str">
        <x:v>已定位原文；待句级复核</x:v>
      </x:c>
      <x:c r="X22" s="9" t="str"/>
    </x:row>
    <x:row r="23" ht="72" customHeight="1">
      <x:c r="A23" s="9" t="str">
        <x:v>OTWTA-CLM-A024</x:v>
      </x:c>
      <x:c r="B23" s="9" t="str">
        <x:v>clean_claims</x:v>
      </x:c>
      <x:c r="C23" s="9" t="str">
        <x:v>A024</x:v>
      </x:c>
      <x:c r="D23" s="9" t="str"/>
      <x:c r="E23" s="9" t="str">
        <x:v>OTWTA-C06</x:v>
      </x:c>
      <x:c r="F23" s="9" t="str">
        <x:v>用于评估中奖彩票初始化的公平“随机彩票”基线，应当同时随机化权重值和掩码结构（全局置换）。</x:v>
      </x:c>
      <x:c r="G23" s="9" t="str">
        <x:v>A fair "random ticket" baseline for evaluating a winning-ticket initialization should randomize both weight values and mask structure (global permutation).</x:v>
      </x:c>
      <x:c r="H23" s="9" t="str">
        <x:v>用于评估中奖彩票初始化的公平“随机彩票”基线，应当同时随机化权重值和掩码结构（全局置换）。</x:v>
      </x:c>
      <x:c r="I23" s="9" t="str">
        <x:v>结论</x:v>
      </x:c>
      <x:c r="J23" s="9" t="str">
        <x:v>作者归纳或解释</x:v>
      </x:c>
      <x:c r="K23" s="9" t="str">
        <x:v>方法学建议</x:v>
      </x:c>
      <x:c r="L23" s="9" t="str">
        <x:v>§3.1 随机掩码; Appendix A.2 随机化掩码</x:v>
      </x:c>
      <x:c r="M23" s="9" t="str">
        <x:v>Fig. A1（并参照 Fig. 1）</x:v>
      </x:c>
      <x:c r="N23" s="9" t="str">
        <x:v>L83; L242-L261（核心：L258-L261）</x:v>
      </x:c>
      <x:c r="O23" s="9" t="str">
        <x:v>While locally permuting masks damaged performance somewhat, globally permuting the mask results in dramatically worse performance, suggesting that the layerwise statistics derived from training the over-parameterized model are very informative.</x:v>
      </x:c>
      <x:c r="P23" s="9" t="str">
        <x:v>层内置换掩码会在一定程度上损害性能，而全局置换掩码会使性能显著恶化，这表明从过参数化模型训练中得到的逐层统计包含大量信息。</x:v>
      </x:c>
      <x:c r="Q23" s="9" t="str">
        <x:v>paper:867771291879342656::conclusion_6</x:v>
      </x:c>
      <x:c r="R23" s="9" t="str"/>
      <x:c r="S23" s="9" t="str">
        <x:v>01_paper_sample_one_ticket/clean_claims_and_relations.json; paper_text_ocr_cleaned.md</x:v>
      </x:c>
      <x:c r="T23" s="9" t="str">
        <x:v>$.assertions[?(@.id=="A024")]</x:v>
      </x:c>
      <x:c r="U23" s="9" t="str">
        <x:v>否</x:v>
      </x:c>
      <x:c r="V23" s="9" t="str"/>
      <x:c r="W23" s="9" t="str">
        <x:v>已定位原文；待句级复核</x:v>
      </x:c>
      <x:c r="X23" s="9" t="str"/>
    </x:row>
    <x:row r="24" ht="72" customHeight="1">
      <x:c r="A24" s="9" t="str">
        <x:v>OTWTA-CLM-A025</x:v>
      </x:c>
      <x:c r="B24" s="9" t="str">
        <x:v>clean_claims</x:v>
      </x:c>
      <x:c r="C24" s="9" t="str">
        <x:v>A025</x:v>
      </x:c>
      <x:c r="D24" s="9" t="str"/>
      <x:c r="E24" s="9" t="str">
        <x:v>OTWTA-C07</x:v>
      </x:c>
      <x:c r="F24" s="9" t="str">
        <x:v>为了在自然图像分类的大模型、大数据集范围内获得具有竞争力的中奖彩票，采用每轮剪枝比例为0.2（剩余参数的20%）、最多进行30轮迭代的迭代量级剪枝方案，并结合将参数延迟重置到训练早期某个较小迭代步的做法，能够产生有效的中奖彩票；所采用的延迟重置设置为：对于Fashion-MNIST、SVHN、CIFAR-10和CIFAR-100，重置到第1个epoch后的参数，对于ImageNet和Places365，重置到第3个epoch后的参数。学习率退火方案和其他超参数按模型系列进行了匹配（VGG19训练160个epoch，在第80和第120个epoch进行学习率下降；ResNet50训练90个epoch，在第50、65和80个epoch进行学习率下降）。</x:v>
      </x:c>
      <x:c r="G24" s="9" t="str">
        <x:v>For obtaining competitive winning tickets in the large-model and large-dataset regime of natural-image classification, an iterative magnitude-pruning schedule with pruning fraction per iteration 0.2 (20% of remaining parameters) over up to 30 iterations combined with late resetting to parameters at a small early training iteration produced effective winning tickets; late resetting settings used were resetting to the parameters after 1 epoch for Fashion-MNIST, SVHN, CIFAR-10 and CIFAR-100, and after 3 epochs for ImageNet and Places365. Learning-rate annealing schedules and other hyperparameters were matched per model family (VGG19 trained 160 epochs with LR drops at epochs 80 and 120; ResNet50 trained 90 epochs with LR drops at epochs 50, 65, and 80).</x:v>
      </x:c>
      <x:c r="H24" s="9" t="str">
        <x:v>为了在自然图像分类的大模型、大数据集范围内获得具有竞争力的中奖彩票，采用每轮剪枝比例为0.2（剩余参数的20%）、最多进行30轮迭代的迭代量级剪枝方案，并结合将参数延迟重置到训练早期某个较小迭代步的做法，能够产生有效的中奖彩票；所采用的延迟重置设置为：对于Fashion-MNIST、SVHN、CIFAR-10和CIFAR-100，重置到第1个epoch后的参数，对于ImageNet和Places365，重置到第3个epoch后的参数。学习率退火方案和其他超参数按模型系列进行了匹配（VGG19训练160个epoch，在第80和第120个epoch进行学习率下降；ResNet50训练90个epoch，在第50、65和80个epoch进行学习率下降）。</x:v>
      </x:c>
      <x:c r="I24" s="9" t="str">
        <x:v>前提</x:v>
      </x:c>
      <x:c r="J24" s="9" t="str">
        <x:v>实验方法前提</x:v>
      </x:c>
      <x:c r="K24" s="9" t="str">
        <x:v>实验设置/方法前提</x:v>
      </x:c>
      <x:c r="L24" s="9" t="str">
        <x:v>§3.1 迭代剪枝 / 延迟重置; Appendix A.1</x:v>
      </x:c>
      <x:c r="M24" s="9" t="str">
        <x:v>—</x:v>
      </x:c>
      <x:c r="N24" s="9" t="str">
        <x:v>L71-L74; L231-L240</x:v>
      </x:c>
      <x:c r="O24" s="9" t="str">
        <x:v>For all models, an iterative pruning rate of 0.2 was used and 30 pruning iterations were performed. ... For Fashion-MNIST, SVHN, CIFAR-10 and CIFAR-100 winning tickets, late resetting of 1 epoch was used. For ImageNet and Places365 winning tickets, late resetting of 3 epochs was used.</x:v>
      </x:c>
      <x:c r="P24" s="9" t="str">
        <x:v>所有模型均采用每轮 0.2 的迭代剪枝率并执行 30 轮剪枝。Fashion-MNIST、SVHN、CIFAR-10 和 CIFAR-100 彩票使用 1 个 epoch 的延迟重置；ImageNet 和 Places365 彩票使用 3 个 epoch 的延迟重置。</x:v>
      </x:c>
      <x:c r="Q24" s="9" t="str">
        <x:v>paper:867771291879342656::conclusion_7</x:v>
      </x:c>
      <x:c r="R24" s="9" t="str"/>
      <x:c r="S24" s="9" t="str">
        <x:v>01_paper_sample_one_ticket/clean_claims_and_relations.json; paper_text_ocr_cleaned.md</x:v>
      </x:c>
      <x:c r="T24" s="9" t="str">
        <x:v>$.assertions[?(@.id=="A025")]</x:v>
      </x:c>
      <x:c r="U24" s="9" t="str">
        <x:v>否</x:v>
      </x:c>
      <x:c r="V24" s="9" t="str"/>
      <x:c r="W24" s="9" t="str">
        <x:v>已定位原文；待句级复核</x:v>
      </x:c>
      <x:c r="X24" s="9" t="str"/>
    </x:row>
    <x:row r="25" ht="72" customHeight="1">
      <x:c r="A25" s="9" t="str">
        <x:v>OTWTA-GCON-C01</x:v>
      </x:c>
      <x:c r="B25" s="9" t="str">
        <x:v>graph_conclusion</x:v>
      </x:c>
      <x:c r="C25" s="9" t="str">
        <x:v>paper:867771291879342656::conclusion_1</x:v>
      </x:c>
      <x:c r="D25" s="9" t="str">
        <x:v>lfac_38ad8d064f6577f1</x:v>
      </x:c>
      <x:c r="E25" s="9" t="str">
        <x:v>OTWTA-C01</x:v>
      </x:c>
      <x:c r="F25" s="9" t="str">
        <x:v>在大型、复杂的自然图像源数据集（ImageNet、Places365，以及较弱程度上的 CIFAR-100）上，通过迭代量级剪枝发现的中奖彩票初始化（每轮剪枝率 0.2，最多 30 轮，并延迟重置到训练早期参数），用于在其他自然图像目标数据集（SVHN、Fashion-MNIST、CIFAR-10、CIFAR-100、ImageNet、Places365）上训练相同的 VGG19 或 ResNet50 架构时，往往能取得接近直接在目标数据集上发现的彩票的测试准确率。这种迁移在广泛的剪枝比例下都能观察到，包括极高稀疏度；大型、类别更丰富的源数据集通常比小型源数据集产生更强的跨数据集迁移，例如训练样本数相同的 CIFAR-100 彩票比 CIFAR-10 彩票泛化更好。</x:v>
      </x:c>
      <x:c r="G25" s="9" t="str">
        <x:v>Winning-ticket initializations discovered by iterative magnitude pruning (iterative pruning rate 0.2, up to 30 pruning iterations; late resetting to early training iterations) on large, complex natural-image source datasets (ImageNet and Places365, and to a lesser extent CIFAR-100) produce sparse initializations that, when used to train a VGG19 or ResNet50 architecture on other natural-image target datasets (SVHN, Fashion-MNIST, CIFAR-10, CIFAR-100, ImageNet, Places365), frequently achieve test accuracies on the target tasks that are close to the accuracies obtained by winning tickets discovered directly on those target datasets. The transferability is observed across a wide range of pruning fractions (including very high sparsity), and larger / more class-rich source datasets produced stronger cross-dataset transfer than smaller sources (e.g., CIFAR-100 tickets generalize better than CIFAR-10 tickets despite both having 50,000 training examples).</x:v>
      </x:c>
      <x:c r="H25" s="9" t="str">
        <x:v>在大型、复杂的自然图像源数据集（ImageNet、Places365，以及较弱程度上的 CIFAR-100）上，通过迭代量级剪枝发现的中奖彩票初始化（每轮剪枝率 0.2，最多 30 轮，并延迟重置到训练早期参数），用于在其他自然图像目标数据集（SVHN、Fashion-MNIST、CIFAR-10、CIFAR-100、ImageNet、Places365）上训练相同的 VGG19 或 ResNet50 架构时，往往能取得接近直接在目标数据集上发现的彩票的测试准确率。这种迁移在广泛的剪枝比例下都能观察到，包括极高稀疏度；大型、类别更丰富的源数据集通常比小型源数据集产生更强的跨数据集迁移，例如训练样本数相同的 CIFAR-100 彩票比 CIFAR-10 彩票泛化更好。</x:v>
      </x:c>
      <x:c r="I25" s="9" t="str">
        <x:v>结论</x:v>
      </x:c>
      <x:c r="J25" s="9" t="str">
        <x:v>LKM 粗粒度综合结论</x:v>
      </x:c>
      <x:c r="K25" s="9" t="str">
        <x:v>被支持的主结论</x:v>
      </x:c>
      <x:c r="L25" s="9" t="str">
        <x:v>§4.2 跨数据集迁移</x:v>
      </x:c>
      <x:c r="M25" s="9" t="str">
        <x:v>Fig. 3; Fig. 4</x:v>
      </x:c>
      <x:c r="N25" s="9" t="str">
        <x:v>L118-L145（核心：L121）</x:v>
      </x:c>
      <x:c r="O25" s="9" t="str">
        <x:v>Across all comparisons, several key trends emerged. First and foremost, individual winning tickets which generalize across all datasets with performance close to that of winning tickets generated on the target dataset can be found.</x:v>
      </x:c>
      <x:c r="P25" s="9" t="str">
        <x:v>在所有比较中出现了若干关键趋势。首先也是最重要的是，可以找到能够跨所有数据集泛化的单个中奖彩票，其性能接近直接在目标数据集上产生的彩票。</x:v>
      </x:c>
      <x:c r="Q25" s="9" t="str"/>
      <x:c r="R25" s="9" t="str"/>
      <x:c r="S25" s="9" t="str">
        <x:v>01_paper_sample_one_ticket/lkm_coarse_reasoning_graph.json; paper_text_ocr_cleaned.md</x:v>
      </x:c>
      <x:c r="T25" s="9" t="str">
        <x:v>$.data.papers[0].graph.nodes[?(@.id=="paper:867771291879342656::conclusion_1")]</x:v>
      </x:c>
      <x:c r="U25" s="9" t="str">
        <x:v>否</x:v>
      </x:c>
      <x:c r="V25" s="9" t="str"/>
      <x:c r="W25" s="9" t="str">
        <x:v>已定位原文；待句级复核</x:v>
      </x:c>
      <x:c r="X25" s="9" t="str">
        <x:v>graph prior=0.95; global_id=gcn_f22fc9a9f36d4b45</x:v>
      </x:c>
    </x:row>
    <x:row r="26" ht="72" customHeight="1">
      <x:c r="A26" s="9" t="str">
        <x:v>OTWTA-GCON-C02</x:v>
      </x:c>
      <x:c r="B26" s="9" t="str">
        <x:v>graph_conclusion</x:v>
      </x:c>
      <x:c r="C26" s="9" t="str">
        <x:v>paper:867771291879342656::conclusion_2</x:v>
      </x:c>
      <x:c r="D26" s="9" t="str">
        <x:v>lfac_cb96d1b77e42b35b</x:v>
      </x:c>
      <x:c r="E26" s="9" t="str">
        <x:v>OTWTA-C02</x:v>
      </x:c>
      <x:c r="F26" s="9" t="str">
        <x:v>在 VGG19 和 ResNet50 两种架构上，从训练样本更多、输出类别更多的大型源数据集中发现的中奖彩票，迁移到其他自然图像分类数据集时，明显优于从小型源数据集中发现的彩票。这一效应不能只用原始训练集大小解释：在训练样本数相同的情况下，类别更多的 CIFAR-100（100 类）产生的彩票，比类别较少的 CIFAR-10（10 类）产生的彩票在多个目标任务上泛化更好。</x:v>
      </x:c>
      <x:c r="G26" s="9" t="str">
        <x:v>Winning tickets discovered on larger source datasets—both in terms of number of training examples and number of output classes—transfer substantially better to other natural-image classification datasets (SVHN, Fashion-MNIST, CIFAR-10, CIFAR-100, ImageNet, Places365) than tickets discovered on smaller source datasets, for both VGG19 and ResNet50 architectures. This effect is not solely explained by raw training-set size: holding training-set size fixed, a source dataset with many classes (CIFAR-100, 100 classes) produced tickets that generalized better across targets than one with few classes (CIFAR-10, 10 classes).</x:v>
      </x:c>
      <x:c r="H26" s="9" t="str">
        <x:v>在 VGG19 和 ResNet50 两种架构上，从训练样本更多、输出类别更多的大型源数据集中发现的中奖彩票，迁移到其他自然图像分类数据集时，明显优于从小型源数据集中发现的彩票。这一效应不能只用原始训练集大小解释：在训练样本数相同的情况下，类别更多的 CIFAR-100（100 类）产生的彩票，比类别较少的 CIFAR-10（10 类）产生的彩票在多个目标任务上泛化更好。</x:v>
      </x:c>
      <x:c r="I26" s="9" t="str">
        <x:v>结论</x:v>
      </x:c>
      <x:c r="J26" s="9" t="str">
        <x:v>LKM 粗粒度综合结论</x:v>
      </x:c>
      <x:c r="K26" s="9" t="str">
        <x:v>被支持的主结论</x:v>
      </x:c>
      <x:c r="L26" s="9" t="str">
        <x:v>§4.2 跨数据集迁移</x:v>
      </x:c>
      <x:c r="M26" s="9" t="str">
        <x:v>Fig. 3; Fig. 4</x:v>
      </x:c>
      <x:c r="N26" s="9" t="str">
        <x:v>L124-L133</x:v>
      </x:c>
      <x:c r="O26" s="9" t="str">
        <x:v>We consistently observed that winning tickets generated on larger, more complex datasets generalized substantially better than those generated on small datasets. ... Consistently, CIFAR-100 tickets generalized better than CIFAR-10 tickets.</x:v>
      </x:c>
      <x:c r="P26" s="9" t="str">
        <x:v>我们持续观察到，在更大、更复杂数据集上产生的中奖彩票，比小型数据集产生的彩票具有明显更好的泛化能力。CIFAR-100 彩票也持续优于 CIFAR-10 彩票。</x:v>
      </x:c>
      <x:c r="Q26" s="9" t="str"/>
      <x:c r="R26" s="9" t="str"/>
      <x:c r="S26" s="9" t="str">
        <x:v>01_paper_sample_one_ticket/lkm_coarse_reasoning_graph.json; paper_text_ocr_cleaned.md</x:v>
      </x:c>
      <x:c r="T26" s="9" t="str">
        <x:v>$.data.papers[0].graph.nodes[?(@.id=="paper:867771291879342656::conclusion_2")]</x:v>
      </x:c>
      <x:c r="U26" s="9" t="str">
        <x:v>否</x:v>
      </x:c>
      <x:c r="V26" s="9" t="str"/>
      <x:c r="W26" s="9" t="str">
        <x:v>已定位原文；待句级复核</x:v>
      </x:c>
      <x:c r="X26" s="9" t="str">
        <x:v>graph prior=0.7; global_id=gcn_0fdc65dd973e495e</x:v>
      </x:c>
    </x:row>
    <x:row r="27" ht="72" customHeight="1">
      <x:c r="A27" s="9" t="str">
        <x:v>OTWTA-GCON-C03</x:v>
      </x:c>
      <x:c r="B27" s="9" t="str">
        <x:v>graph_conclusion</x:v>
      </x:c>
      <x:c r="C27" s="9" t="str">
        <x:v>paper:867771291879342656::conclusion_3</x:v>
      </x:c>
      <x:c r="D27" s="9" t="str">
        <x:v>lfac_666bfce3ddeaaf51</x:v>
      </x:c>
      <x:c r="E27" s="9" t="str">
        <x:v>OTWTA-C03</x:v>
      </x:c>
      <x:c r="F27" s="9" t="str">
        <x:v>在自然图像分类任务中，使用一种优化器产生的中奖彩票初始化可以迁移到另一种优化器：用带动量 SGD 或 Adam 在 VGG19 上发现的彩票，改用另一种优化器训练时，能够获得与目标优化器直接发现的彩票相近的较高性能。但行为存在优化器相关差异：从 SGD 迁移到 Adam 的彩票在低剪枝比例下有时不如随机彩票，而在高剪枝比例下则优于随机彩票。</x:v>
      </x:c>
      <x:c r="G27" s="9" t="str">
        <x:v>Winning-ticket initializations generated with one optimizer generalize to training with a different optimizer on natural-image classification datasets: VGG19 tickets found using SGD with momentum or using Adam, when re-used with the alternate optimizer, achieve high performance that is comparable to tickets discovered under the target optimizer. There are optimizer-dependent nuances in behavior: tickets transferred from SGD to Adam sometimes under-perform random tickets at low pruning fractions but outperform random tickets at high pruning fractions.</x:v>
      </x:c>
      <x:c r="H27" s="9" t="str">
        <x:v>在自然图像分类任务中，使用一种优化器产生的中奖彩票初始化可以迁移到另一种优化器：用带动量 SGD 或 Adam 在 VGG19 上发现的彩票，改用另一种优化器训练时，能够获得与目标优化器直接发现的彩票相近的较高性能。但行为存在优化器相关差异：从 SGD 迁移到 Adam 的彩票在低剪枝比例下有时不如随机彩票，而在高剪枝比例下则优于随机彩票。</x:v>
      </x:c>
      <x:c r="I27" s="9" t="str">
        <x:v>结论</x:v>
      </x:c>
      <x:c r="J27" s="9" t="str">
        <x:v>LKM 粗粒度综合结论</x:v>
      </x:c>
      <x:c r="K27" s="9" t="str">
        <x:v>被支持的主结论</x:v>
      </x:c>
      <x:c r="L27" s="9" t="str">
        <x:v>§4.3 跨优化器迁移</x:v>
      </x:c>
      <x:c r="M27" s="9" t="str">
        <x:v>Fig. 5</x:v>
      </x:c>
      <x:c r="N27" s="9" t="str">
        <x:v>L150-L159（核心：L153）</x:v>
      </x:c>
      <x:c r="O27"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27" s="9" t="str">
        <x:v>VGG 模型的迁移彩票取得了与源优化器产生的彩票相近的性能。从 SGD 迁移到 Adam 的彩票在低剪枝比例下不如随机彩票，但在高剪枝比例下明显优于随机彩票。</x:v>
      </x:c>
      <x:c r="Q27" s="9" t="str"/>
      <x:c r="R27" s="9" t="str"/>
      <x:c r="S27" s="9" t="str">
        <x:v>01_paper_sample_one_ticket/lkm_coarse_reasoning_graph.json; paper_text_ocr_cleaned.md</x:v>
      </x:c>
      <x:c r="T27" s="9" t="str">
        <x:v>$.data.papers[0].graph.nodes[?(@.id=="paper:867771291879342656::conclusion_3")]</x:v>
      </x:c>
      <x:c r="U27" s="9" t="str">
        <x:v>否</x:v>
      </x:c>
      <x:c r="V27" s="9" t="str"/>
      <x:c r="W27" s="9" t="str">
        <x:v>已定位原文；待句级复核</x:v>
      </x:c>
      <x:c r="X27" s="9" t="str">
        <x:v>graph prior=0.5; global_id=gcn_d354352c21724714</x:v>
      </x:c>
    </x:row>
    <x:row r="28" ht="72" customHeight="1">
      <x:c r="A28" s="9" t="str">
        <x:v>OTWTA-GCON-C04</x:v>
      </x:c>
      <x:c r="B28" s="9" t="str">
        <x:v>graph_conclusion</x:v>
      </x:c>
      <x:c r="C28" s="9" t="str">
        <x:v>paper:867771291879342656::conclusion_4</x:v>
      </x:c>
      <x:c r="D28" s="9" t="str">
        <x:v>lfac_745c4fd9e6ca523f</x:v>
      </x:c>
      <x:c r="E28" s="9" t="str">
        <x:v>OTWTA-C04</x:v>
      </x:c>
      <x:c r="F28" s="9" t="str">
        <x:v>在包含 25,000 张训练图像、每类 2,500 张图像的 CIFAR-10a 子集上发现的中奖彩票，可以迁移到同一分布下互不重叠的 CIFAR-10b 子集，并相对于随机稀疏初始化改善该留出子集上的训练。该同分布迁移在 VGG19 和 ResNet50 上都成立，但 ResNet50 在低剪枝比例下较敏感，少量权重被剪除时偶尔不如随机彩票。</x:v>
      </x:c>
      <x:c r="G28" s="9" t="str">
        <x:v>A winning ticket discovered on CIFAR-10a, a subset of the CIFAR-10 dataset containing 25,000 training images with 2,500 images per class, transfers to a disjoint subset CIFAR-10b from the same data distribution and improves training on that held-out subset relative to random sparse initializations. This within-distribution transfer holds for both VGG19 and ResNet50, though ResNet50 showed sensitivity at low pruning fractions (occasionally under-performing random tickets when few weights are pruned).</x:v>
      </x:c>
      <x:c r="H28" s="9" t="str">
        <x:v>在包含 25,000 张训练图像、每类 2,500 张图像的 CIFAR-10a 子集上发现的中奖彩票，可以迁移到同一分布下互不重叠的 CIFAR-10b 子集，并相对于随机稀疏初始化改善该留出子集上的训练。该同分布迁移在 VGG19 和 ResNet50 上都成立，但 ResNet50 在低剪枝比例下较敏感，少量权重被剪除时偶尔不如随机彩票。</x:v>
      </x:c>
      <x:c r="I28" s="9" t="str">
        <x:v>结论</x:v>
      </x:c>
      <x:c r="J28" s="9" t="str">
        <x:v>LKM 粗粒度综合结论</x:v>
      </x:c>
      <x:c r="K28" s="9" t="str">
        <x:v>被支持的主结论</x:v>
      </x:c>
      <x:c r="L28" s="9" t="str">
        <x:v>§4.1 同一数据分布内迁移</x:v>
      </x:c>
      <x:c r="M28" s="9" t="str">
        <x:v>Fig. 2</x:v>
      </x:c>
      <x:c r="N28" s="9" t="str">
        <x:v>L102-L111</x:v>
      </x:c>
      <x:c r="O28" s="9" t="str">
        <x:v>We then asked whether winning tickets generated using CIFAR-10a would produce increased performance on CIFAR-10b. ... For ResNet50 models ... both under-performed random tickets at low pruning fractions.</x:v>
      </x:c>
      <x:c r="P28" s="9" t="str">
        <x:v>随后我们询问，使用 CIFAR-10a 产生的彩票能否提高 CIFAR-10b 上的性能。对于 ResNet50，两类彩票在低剪枝比例下都不如随机彩票。</x:v>
      </x:c>
      <x:c r="Q28" s="9" t="str"/>
      <x:c r="R28" s="9" t="str"/>
      <x:c r="S28" s="9" t="str">
        <x:v>01_paper_sample_one_ticket/lkm_coarse_reasoning_graph.json; paper_text_ocr_cleaned.md</x:v>
      </x:c>
      <x:c r="T28" s="9" t="str">
        <x:v>$.data.papers[0].graph.nodes[?(@.id=="paper:867771291879342656::conclusion_4")]</x:v>
      </x:c>
      <x:c r="U28" s="9" t="str">
        <x:v>否</x:v>
      </x:c>
      <x:c r="V28" s="9" t="str"/>
      <x:c r="W28" s="9" t="str">
        <x:v>已定位原文；待句级复核</x:v>
      </x:c>
      <x:c r="X28" s="9" t="str">
        <x:v>graph prior=0.6; global_id=gcn_2cab68b8709b4d9f</x:v>
      </x:c>
    </x:row>
    <x:row r="29" ht="72" customHeight="1">
      <x:c r="A29" s="9" t="str">
        <x:v>OTWTA-GCON-C05</x:v>
      </x:c>
      <x:c r="B29" s="9" t="str">
        <x:v>graph_conclusion</x:v>
      </x:c>
      <x:c r="C29" s="9" t="str">
        <x:v>paper:867771291879342656::conclusion_5</x:v>
      </x:c>
      <x:c r="D29" s="9" t="str">
        <x:v>lfac_58096a5ebe94e02b</x:v>
      </x:c>
      <x:c r="E29" s="9" t="str">
        <x:v>OTWTA-C05</x:v>
      </x:c>
      <x:c r="F29" s="9" t="str">
        <x:v>在 CIFAR-10 上训练 VGG19 并发现中奖彩票时，将所有层的权重放在一起按量级排序、全局删除最小权重，得到的稀疏子网络性能高于每层按固定比例剪枝的逐层剪枝。在全局量级剪枝下，各层剪枝比例并不相同：更深的卷积层被剪得更多，而浅层、尤其第一卷积层保留了更大比例的参数。</x:v>
      </x:c>
      <x:c r="G29" s="9" t="str">
        <x:v>When performing magnitude pruning for winning-ticket discovery on VGG19 trained on CIFAR-10, globally ranking weights across all layers and pruning the smallest-magnitude weights globally yields higher-performing sparse subnetworks than pruning a fixed fraction per layer ("layerwise pruning"). Under global magnitude pruning the pruning fractions vary across layers: deeper convolutional layers are pruned more heavily while early layers (notably the first convolutional layer) retain a much larger fraction of their parameters.</x:v>
      </x:c>
      <x:c r="H29" s="9" t="str">
        <x:v>在 CIFAR-10 上训练 VGG19 并发现中奖彩票时，将所有层的权重放在一起按量级排序、全局删除最小权重，得到的稀疏子网络性能高于每层按固定比例剪枝的逐层剪枝。在全局量级剪枝下，各层剪枝比例并不相同：更深的卷积层被剪得更多，而浅层、尤其第一卷积层保留了更大比例的参数。</x:v>
      </x:c>
      <x:c r="I29" s="9" t="str">
        <x:v>结论</x:v>
      </x:c>
      <x:c r="J29" s="9" t="str">
        <x:v>LKM 粗粒度综合结论</x:v>
      </x:c>
      <x:c r="K29" s="9" t="str">
        <x:v>被支持的主结论</x:v>
      </x:c>
      <x:c r="L29" s="9" t="str">
        <x:v>§3.1 彩票假说——全局剪枝</x:v>
      </x:c>
      <x:c r="M29" s="9" t="str">
        <x:v>Fig. 1</x:v>
      </x:c>
      <x:c r="N29" s="9" t="str">
        <x:v>L77-L80</x:v>
      </x:c>
      <x:c r="O29" s="9" t="str">
        <x:v>We observed that global pruning leads to higher performance than local pruning. ... Global magnitude pruning preferentially prunes weights in deeper layers, leaving the first layer in particular relatively unpruned.</x:v>
      </x:c>
      <x:c r="P29" s="9" t="str">
        <x:v>我们观察到，全局剪枝比逐层剪枝取得更高性能。全局量级剪枝倾向于更多剪除深层权重，而第一层尤其保留了较多参数。</x:v>
      </x:c>
      <x:c r="Q29" s="9" t="str"/>
      <x:c r="R29" s="9" t="str"/>
      <x:c r="S29" s="9" t="str">
        <x:v>01_paper_sample_one_ticket/lkm_coarse_reasoning_graph.json; paper_text_ocr_cleaned.md</x:v>
      </x:c>
      <x:c r="T29" s="9" t="str">
        <x:v>$.data.papers[0].graph.nodes[?(@.id=="paper:867771291879342656::conclusion_5")]</x:v>
      </x:c>
      <x:c r="U29" s="9" t="str">
        <x:v>否</x:v>
      </x:c>
      <x:c r="V29" s="9" t="str"/>
      <x:c r="W29" s="9" t="str">
        <x:v>已定位原文；待句级复核</x:v>
      </x:c>
      <x:c r="X29" s="9" t="str">
        <x:v>graph prior=0.5; global_id=gcn_cdeb0e970f4042d0</x:v>
      </x:c>
    </x:row>
    <x:row r="30" ht="72" customHeight="1">
      <x:c r="A30" s="9" t="str">
        <x:v>OTWTA-GCON-C06</x:v>
      </x:c>
      <x:c r="B30" s="9" t="str">
        <x:v>graph_conclusion</x:v>
      </x:c>
      <x:c r="C30" s="9" t="str">
        <x:v>paper:867771291879342656::conclusion_6</x:v>
      </x:c>
      <x:c r="D30" s="9" t="str">
        <x:v>lfac_c6ff5645cff61bd7</x:v>
      </x:c>
      <x:c r="E30" s="9" t="str">
        <x:v>OTWTA-C06</x:v>
      </x:c>
      <x:c r="F30" s="9" t="str">
        <x:v>对于在 CIFAR-10 上训练的 VGG19，剪枝掩码的结构包含对训练稀疏网络有用的重要信息。比较保留的彩票掩码、仅在层内置换的掩码和跨所有层全局置换的掩码可见：层内置换使性能中度下降，而全局置换导致性能显著下降。因此，用于评估中奖彩票初始化的公平“随机彩票”基线应同时随机化权重值和掩码结构，因为保留逐层掩码统计会从已发现的彩票中携带信息。</x:v>
      </x:c>
      <x:c r="G30" s="9" t="str">
        <x:v>For VGG19 trained on CIFAR-10, the structure of the pruning mask contains substantial information useful for training sparse networks: comparing (a) preserved winning-ticket masks, (b) masks permuted only within layers (local permutation), and (c) masks permuted across all layers (global permutation) shows that locally permuting a mask degrades performance moderately while globally permuting the mask degrades performance dramatically. Therefore, a fair "random ticket" baseline for evaluating a winning-ticket initialization should randomize both weight values and mask structure (global permutation), because preserving mask statistics across layers transfers information from the discovered ticket.</x:v>
      </x:c>
      <x:c r="H30" s="9" t="str">
        <x:v>对于在 CIFAR-10 上训练的 VGG19，剪枝掩码的结构包含对训练稀疏网络有用的重要信息。比较保留的彩票掩码、仅在层内置换的掩码和跨所有层全局置换的掩码可见：层内置换使性能中度下降，而全局置换导致性能显著下降。因此，用于评估中奖彩票初始化的公平“随机彩票”基线应同时随机化权重值和掩码结构，因为保留逐层掩码统计会从已发现的彩票中携带信息。</x:v>
      </x:c>
      <x:c r="I30" s="9" t="str">
        <x:v>结论</x:v>
      </x:c>
      <x:c r="J30" s="9" t="str">
        <x:v>LKM 粗粒度综合结论</x:v>
      </x:c>
      <x:c r="K30" s="9" t="str">
        <x:v>被支持的主结论</x:v>
      </x:c>
      <x:c r="L30" s="9" t="str">
        <x:v>§3.1 随机掩码; Appendix A.2 随机化掩码</x:v>
      </x:c>
      <x:c r="M30" s="9" t="str">
        <x:v>Fig. A1（并参照 Fig. 1）</x:v>
      </x:c>
      <x:c r="N30" s="9" t="str">
        <x:v>L83; L242-L261（核心：L258-L261）</x:v>
      </x:c>
      <x:c r="O30" s="9" t="str">
        <x:v>While locally permuting masks damaged performance somewhat, globally permuting the mask results in dramatically worse performance, suggesting that the layerwise statistics derived from training the over-parameterized model are very informative.</x:v>
      </x:c>
      <x:c r="P30" s="9" t="str">
        <x:v>层内置换掩码会在一定程度上损害性能，而全局置换掩码会使性能显著恶化，这表明从过参数化模型训练中得到的逐层统计包含大量信息。</x:v>
      </x:c>
      <x:c r="Q30" s="9" t="str"/>
      <x:c r="R30" s="9" t="str"/>
      <x:c r="S30" s="9" t="str">
        <x:v>01_paper_sample_one_ticket/lkm_coarse_reasoning_graph.json; paper_text_ocr_cleaned.md</x:v>
      </x:c>
      <x:c r="T30" s="9" t="str">
        <x:v>$.data.papers[0].graph.nodes[?(@.id=="paper:867771291879342656::conclusion_6")]</x:v>
      </x:c>
      <x:c r="U30" s="9" t="str">
        <x:v>否</x:v>
      </x:c>
      <x:c r="V30" s="9" t="str"/>
      <x:c r="W30" s="9" t="str">
        <x:v>已定位原文；待句级复核</x:v>
      </x:c>
      <x:c r="X30" s="9" t="str">
        <x:v>graph prior=0.5; global_id=gcn_764a16230b6b4c66</x:v>
      </x:c>
    </x:row>
    <x:row r="31" ht="72" customHeight="1">
      <x:c r="A31" s="9" t="str">
        <x:v>OTWTA-GCON-C07</x:v>
      </x:c>
      <x:c r="B31" s="9" t="str">
        <x:v>graph_conclusion</x:v>
      </x:c>
      <x:c r="C31" s="9" t="str">
        <x:v>paper:867771291879342656::conclusion_7</x:v>
      </x:c>
      <x:c r="D31" s="9" t="str">
        <x:v>lfac_c9fb5d9571d5a824</x:v>
      </x:c>
      <x:c r="E31" s="9" t="str">
        <x:v>OTWTA-C07</x:v>
      </x:c>
      <x:c r="F31" s="9" t="str">
        <x:v>为了在自然图像分类的大模型、大数据集场景中得到有竞争力的中奖彩票，论文采用每轮剪除剩余参数 20%、最多 30 轮的迭代量级剪枝，并将参数延迟重置到训练早期。Fashion-MNIST、SVHN、CIFAR-10 和 CIFAR-100 重置到第 1 个 epoch 后的参数，ImageNet 和 Places365 重置到第 3 个 epoch 后的参数。学习率退火和其他超参数按模型族匹配：VGG19 训练 160 个 epoch，在第 80、120 个 epoch 降低学习率；ResNet50 训练 90 个 epoch，在第 50、65、80 个 epoch 降低学习率。</x:v>
      </x:c>
      <x:c r="G31" s="9" t="str">
        <x:v>For obtaining competitive winning tickets in the large-model and large-dataset regime of natural-image classification, an iterative magnitude-pruning schedule with pruning fraction per iteration 0.2 (20% of remaining parameters) over up to 30 iterations combined with late resetting to parameters at a small early training iteration produced effective winning tickets; late resetting settings used were resetting to the parameters after 1 epoch for Fashion-MNIST, SVHN, CIFAR-10 and CIFAR-100, and after 3 epochs for ImageNet and Places365. Learning-rate annealing schedules and other hyperparameters were matched per model family (VGG19 trained 160 epochs with LR drops at epochs 80 and 120; ResNet50 trained 90 epochs with LR drops at epochs 50, 65, and 80).</x:v>
      </x:c>
      <x:c r="H31" s="9" t="str">
        <x:v>为了在自然图像分类的大模型、大数据集场景中得到有竞争力的中奖彩票，论文采用每轮剪除剩余参数 20%、最多 30 轮的迭代量级剪枝，并将参数延迟重置到训练早期。Fashion-MNIST、SVHN、CIFAR-10 和 CIFAR-100 重置到第 1 个 epoch 后的参数，ImageNet 和 Places365 重置到第 3 个 epoch 后的参数。学习率退火和其他超参数按模型族匹配：VGG19 训练 160 个 epoch，在第 80、120 个 epoch 降低学习率；ResNet50 训练 90 个 epoch，在第 50、65、80 个 epoch 降低学习率。</x:v>
      </x:c>
      <x:c r="I31" s="9" t="str">
        <x:v>结论</x:v>
      </x:c>
      <x:c r="J31" s="9" t="str">
        <x:v>LKM 粗粒度综合结论</x:v>
      </x:c>
      <x:c r="K31" s="9" t="str">
        <x:v>被支持的主结论</x:v>
      </x:c>
      <x:c r="L31" s="9" t="str">
        <x:v>§3.1 迭代剪枝 / 延迟重置; Appendix A.1</x:v>
      </x:c>
      <x:c r="M31" s="9" t="str">
        <x:v>—</x:v>
      </x:c>
      <x:c r="N31" s="9" t="str">
        <x:v>L71-L74; L231-L240</x:v>
      </x:c>
      <x:c r="O31" s="9" t="str">
        <x:v>For all models, an iterative pruning rate of 0.2 was used and 30 pruning iterations were performed. ... For Fashion-MNIST, SVHN, CIFAR-10 and CIFAR-100 winning tickets, late resetting of 1 epoch was used. For ImageNet and Places365 winning tickets, late resetting of 3 epochs was used.</x:v>
      </x:c>
      <x:c r="P31" s="9" t="str">
        <x:v>所有模型均采用每轮 0.2 的迭代剪枝率并执行 30 轮剪枝。Fashion-MNIST、SVHN、CIFAR-10 和 CIFAR-100 彩票使用 1 个 epoch 的延迟重置；ImageNet 和 Places365 彩票使用 3 个 epoch 的延迟重置。</x:v>
      </x:c>
      <x:c r="Q31" s="9" t="str"/>
      <x:c r="R31" s="9" t="str"/>
      <x:c r="S31" s="9" t="str">
        <x:v>01_paper_sample_one_ticket/lkm_coarse_reasoning_graph.json; paper_text_ocr_cleaned.md</x:v>
      </x:c>
      <x:c r="T31" s="9" t="str">
        <x:v>$.data.papers[0].graph.nodes[?(@.id=="paper:867771291879342656::conclusion_7")]</x:v>
      </x:c>
      <x:c r="U31" s="9" t="str">
        <x:v>否</x:v>
      </x:c>
      <x:c r="V31" s="9" t="str"/>
      <x:c r="W31" s="9" t="str">
        <x:v>已定位原文；待句级复核</x:v>
      </x:c>
      <x:c r="X31" s="9" t="str">
        <x:v>graph prior=0.9; global_id=gcn_1c4ea7e959814d8f</x:v>
      </x:c>
    </x:row>
    <x:row r="32" ht="72" customHeight="1">
      <x:c r="A32" s="9" t="str">
        <x:v>OTWTA-OBS-H01</x:v>
      </x:c>
      <x:c r="B32" s="9" t="str">
        <x:v>graph_highlight</x:v>
      </x:c>
      <x:c r="C32" s="9" t="str">
        <x:v>paper:867771291879342656::H1</x:v>
      </x:c>
      <x:c r="D32" s="9" t="str">
        <x:v>lfac_38ad8d064f6577f1</x:v>
      </x:c>
      <x:c r="E32" s="9" t="str">
        <x:v>OTWTA-C01</x:v>
      </x:c>
      <x:c r="F32" s="9" t="str">
        <x:v>对于在 Fashion-MNIST 上训练的 VGG19，当剪枝比例低于约 80% 时，来自 ImageNet、Places365 和 CIFAR-100 的中奖彩票测试准确率明显高于在 Fashion-MNIST 本身发现的彩票。Fashion-MNIST 专用彩票在低剪枝比例下出现严重过拟合、测试准确率较低，而来自较大数据集的迁移彩票保持较高准确率。</x:v>
      </x:c>
      <x:c r="G32" s="9" t="str">
        <x:v>For VGG19 trained on Fashion-MNIST, winning tickets sourced from ImageNet, Places365, and CIFAR-100 achieve substantially higher test accuracy at pruning fractions below approximately 80% than winning tickets generated on Fashion-MNIST itself. The Fashion-MNIST-specific tickets at low pruning fractions suffer from severe overfitting (low test accuracy), whereas transferred tickets from larger datasets maintain high accuracy.</x:v>
      </x:c>
      <x:c r="H32" s="9" t="str">
        <x:v>对于在 Fashion-MNIST 上训练的 VGG19，当剪枝比例低于约 80% 时，来自 ImageNet、Places365 和 CIFAR-100 的中奖彩票测试准确率明显高于在 Fashion-MNIST 本身发现的彩票。Fashion-MNIST 专用彩票在低剪枝比例下出现严重过拟合、测试准确率较低，而来自较大数据集的迁移彩票保持较高准确率。</x:v>
      </x:c>
      <x:c r="I32" s="9" t="str">
        <x:v>观察</x:v>
      </x:c>
      <x:c r="J32" s="9" t="str">
        <x:v>LKM 提取的关键实验观察</x:v>
      </x:c>
      <x:c r="K32" s="9" t="str">
        <x:v>支持证据</x:v>
      </x:c>
      <x:c r="L32" s="9" t="str">
        <x:v>§4.2 跨数据集迁移</x:v>
      </x:c>
      <x:c r="M32" s="9" t="str">
        <x:v>Fig. 3b</x:v>
      </x:c>
      <x:c r="N32" s="9" t="str">
        <x:v>L136</x:v>
      </x:c>
      <x:c r="O32" s="9" t="str">
        <x:v>Transferred winning tickets dramatically outperformed winning tickets generated on Fashion-MNIST itself at low pruning rates ... suggesting that transferred tickets provide additional regularization against overfitting.</x:v>
      </x:c>
      <x:c r="P32" s="9" t="str">
        <x:v>在低剪枝比例下，迁移的中奖彩票显著优于直接在 Fashion-MNIST 上产生的彩票，这表明迁移彩票对过拟合提供了额外的正则化作用。</x:v>
      </x:c>
      <x:c r="Q32" s="9" t="str">
        <x:v>paper:867771291879342656::conclusion_1</x:v>
      </x:c>
      <x:c r="R32" s="9" t="str"/>
      <x:c r="S32" s="9" t="str">
        <x:v>01_paper_sample_one_ticket/lkm_coarse_reasoning_graph.json; paper_text_ocr_cleaned.md</x:v>
      </x:c>
      <x:c r="T32" s="9" t="str">
        <x:v>$.data.papers[0].graph.nodes[?(@.id=="paper:867771291879342656::H1")]</x:v>
      </x:c>
      <x:c r="U32" s="9" t="str">
        <x:v>否</x:v>
      </x:c>
      <x:c r="V32" s="9" t="str"/>
      <x:c r="W32" s="9" t="str">
        <x:v>需核对图中读数</x:v>
      </x:c>
      <x:c r="X32" s="9" t="str">
        <x:v>证据贡献说明见 Conclusion_Map 的中文 LKM 评述；原始 metadata 保留在 Raw_Graph_Nodes。</x:v>
      </x:c>
    </x:row>
    <x:row r="33" ht="72" customHeight="1">
      <x:c r="A33" s="9" t="str">
        <x:v>OTWTA-OBS-H02</x:v>
      </x:c>
      <x:c r="B33" s="9" t="str">
        <x:v>graph_highlight</x:v>
      </x:c>
      <x:c r="C33" s="9" t="str">
        <x:v>paper:867771291879342656::H2</x:v>
      </x:c>
      <x:c r="D33" s="9" t="str">
        <x:v>lfac_38ad8d064f6577f1</x:v>
      </x:c>
      <x:c r="E33" s="9" t="str">
        <x:v>OTWTA-C01</x:v>
      </x:c>
      <x:c r="F33" s="9" t="str">
        <x:v>在 VGG19 和 ResNet50 上进行自然图像数据集间的中奖彩票迁移时，源数据集有效性的排序在两种架构上保持一致：ImageNet/Places365 高于 CIFAR-100，CIFAR-100 高于 CIFAR-10，CIFAR-10 高于 Fashion-MNIST/SVHN。</x:v>
      </x:c>
      <x:c r="G33" s="9" t="str">
        <x:v>For winning ticket transfer across natural-image datasets (SVHN, Fashion-MNIST, CIFAR-10, CIFAR-100, ImageNet, Places365) with VGG19 and ResNet50, the observed ordering of source dataset effectiveness (ImageNet/Places365 &gt; CIFAR-100 &gt; CIFAR-10 &gt; Fashion-MNIST/SVHN) is consistent across both architectures.</x:v>
      </x:c>
      <x:c r="H33" s="9" t="str">
        <x:v>在 VGG19 和 ResNet50 上进行自然图像数据集间的中奖彩票迁移时，源数据集有效性的排序在两种架构上保持一致：ImageNet/Places365 高于 CIFAR-100，CIFAR-100 高于 CIFAR-10，CIFAR-10 高于 Fashion-MNIST/SVHN。</x:v>
      </x:c>
      <x:c r="I33" s="9" t="str">
        <x:v>观察</x:v>
      </x:c>
      <x:c r="J33" s="9" t="str">
        <x:v>LKM 提取的关键实验观察</x:v>
      </x:c>
      <x:c r="K33" s="9" t="str">
        <x:v>支持证据</x:v>
      </x:c>
      <x:c r="L33" s="9" t="str">
        <x:v>§4.2 跨数据集迁移</x:v>
      </x:c>
      <x:c r="M33" s="9" t="str">
        <x:v>Fig. 3, Fig. 4</x:v>
      </x:c>
      <x:c r="N33" s="9" t="str">
        <x:v>L118-L145（核心：L121）</x:v>
      </x:c>
      <x:c r="O33" s="9" t="str">
        <x:v>Across all comparisons, several key trends emerged. First and foremost, individual winning tickets which generalize across all datasets with performance close to that of winning tickets generated on the target dataset can be found.</x:v>
      </x:c>
      <x:c r="P33" s="9" t="str">
        <x:v>在所有比较中出现了若干关键趋势。首先也是最重要的是，可以找到能够跨所有数据集泛化的单个中奖彩票，其性能接近直接在目标数据集上产生的彩票。</x:v>
      </x:c>
      <x:c r="Q33" s="9" t="str">
        <x:v>paper:867771291879342656::conclusion_1</x:v>
      </x:c>
      <x:c r="R33" s="9" t="str"/>
      <x:c r="S33" s="9" t="str">
        <x:v>01_paper_sample_one_ticket/lkm_coarse_reasoning_graph.json; paper_text_ocr_cleaned.md</x:v>
      </x:c>
      <x:c r="T33" s="9" t="str">
        <x:v>$.data.papers[0].graph.nodes[?(@.id=="paper:867771291879342656::H2")]</x:v>
      </x:c>
      <x:c r="U33" s="9" t="str">
        <x:v>否</x:v>
      </x:c>
      <x:c r="V33" s="9" t="str"/>
      <x:c r="W33" s="9" t="str">
        <x:v>需核对图中读数</x:v>
      </x:c>
      <x:c r="X33" s="9" t="str">
        <x:v>证据贡献说明见 Conclusion_Map 的中文 LKM 评述；原始 metadata 保留在 Raw_Graph_Nodes。</x:v>
      </x:c>
    </x:row>
    <x:row r="34" ht="72" customHeight="1">
      <x:c r="A34" s="9" t="str">
        <x:v>OTWTA-OBS-H03</x:v>
      </x:c>
      <x:c r="B34" s="9" t="str">
        <x:v>graph_highlight</x:v>
      </x:c>
      <x:c r="C34" s="9" t="str">
        <x:v>paper:867771291879342656::H3</x:v>
      </x:c>
      <x:c r="D34" s="9" t="str">
        <x:v>lfac_cb96d1b77e42b35b</x:v>
      </x:c>
      <x:c r="E34" s="9" t="str">
        <x:v>OTWTA-C02</x:v>
      </x:c>
      <x:c r="F34" s="9" t="str">
        <x:v>比较六个自然图像数据集之间的迁移以及 VGG19、ResNet50 两种架构后，源数据集有效性的排序非常一致：ImageNet/Places365 高于 CIFAR-100，CIFAR-100 高于 CIFAR-10，CIFAR-10 高于 Fashion-MNIST/SVHN；该排序在所有目标数据集上都成立。</x:v>
      </x:c>
      <x:c r="G34" s="9" t="str">
        <x:v>Comparing source dataset transferability across multiple target datasets (SVHN, Fashion-MNIST, CIFAR-10, CIFAR-100, ImageNet, Places365) and two architectures (VGG19 and ResNet50), the ordering of source effectiveness is remarkably consistent: ImageNet/Places365 &gt; CIFAR-100 &gt; CIFAR-10 &gt; Fashion-MNIST/SVHN. This holds across all target datasets.</x:v>
      </x:c>
      <x:c r="H34" s="9" t="str">
        <x:v>比较六个自然图像数据集之间的迁移以及 VGG19、ResNet50 两种架构后，源数据集有效性的排序非常一致：ImageNet/Places365 高于 CIFAR-100，CIFAR-100 高于 CIFAR-10，CIFAR-10 高于 Fashion-MNIST/SVHN；该排序在所有目标数据集上都成立。</x:v>
      </x:c>
      <x:c r="I34" s="9" t="str">
        <x:v>观察</x:v>
      </x:c>
      <x:c r="J34" s="9" t="str">
        <x:v>LKM 提取的关键实验观察</x:v>
      </x:c>
      <x:c r="K34" s="9" t="str">
        <x:v>支持证据</x:v>
      </x:c>
      <x:c r="L34" s="9" t="str">
        <x:v>§4.2 跨数据集迁移</x:v>
      </x:c>
      <x:c r="M34" s="9" t="str">
        <x:v>Fig. 3, Fig. 4</x:v>
      </x:c>
      <x:c r="N34" s="9" t="str">
        <x:v>L124-L133</x:v>
      </x:c>
      <x:c r="O34" s="9" t="str">
        <x:v>We consistently observed that winning tickets generated on larger, more complex datasets generalized substantially better than those generated on small datasets. ... Consistently, CIFAR-100 tickets generalized better than CIFAR-10 tickets.</x:v>
      </x:c>
      <x:c r="P34" s="9" t="str">
        <x:v>我们持续观察到，在更大、更复杂数据集上产生的中奖彩票，比小型数据集产生的彩票具有明显更好的泛化能力。CIFAR-100 彩票也持续优于 CIFAR-10 彩票。</x:v>
      </x:c>
      <x:c r="Q34" s="9" t="str">
        <x:v>paper:867771291879342656::conclusion_2</x:v>
      </x:c>
      <x:c r="R34" s="9" t="str"/>
      <x:c r="S34" s="9" t="str">
        <x:v>01_paper_sample_one_ticket/lkm_coarse_reasoning_graph.json; paper_text_ocr_cleaned.md</x:v>
      </x:c>
      <x:c r="T34" s="9" t="str">
        <x:v>$.data.papers[0].graph.nodes[?(@.id=="paper:867771291879342656::H3")]</x:v>
      </x:c>
      <x:c r="U34" s="9" t="str">
        <x:v>否</x:v>
      </x:c>
      <x:c r="V34" s="9" t="str"/>
      <x:c r="W34" s="9" t="str">
        <x:v>需核对图中读数</x:v>
      </x:c>
      <x:c r="X34" s="9" t="str">
        <x:v>证据贡献说明见 Conclusion_Map 的中文 LKM 评述；原始 metadata 保留在 Raw_Graph_Nodes。</x:v>
      </x:c>
    </x:row>
    <x:row r="35" ht="72" customHeight="1">
      <x:c r="A35" s="9" t="str">
        <x:v>OTWTA-OBS-H04</x:v>
      </x:c>
      <x:c r="B35" s="9" t="str">
        <x:v>graph_highlight</x:v>
      </x:c>
      <x:c r="C35" s="9" t="str">
        <x:v>paper:867771291879342656::H4</x:v>
      </x:c>
      <x:c r="D35" s="9" t="str">
        <x:v>lfac_666bfce3ddeaaf51</x:v>
      </x:c>
      <x:c r="E35" s="9" t="str">
        <x:v>OTWTA-C03</x:v>
      </x:c>
      <x:c r="F35" s="9" t="str">
        <x:v>在 VGG19 的跨优化器迁移实验中（论文未明确数据集），使用带动量 SGD 或 Adam 中一种优化器产生的彩票，交由另一种优化器评估。在广泛的剪枝比例下，迁移彩票的性能接近直接用目标优化器产生的彩票，尤其是在高剪枝比例下。实验控制了架构和剪枝日程，从而主要隔离了优化器变量。</x:v>
      </x:c>
      <x:c r="G35" s="9" t="str">
        <x:v>In the cross-optimizer transfer experiment on VGG19 (dataset not specified in the paper), winning tickets generated with one optimizer (SGD with momentum or Adam) are evaluated with the other optimizer. Across a wide range of pruning fractions, the transferred tickets achieve performance close to tickets generated directly with the target optimizer, especially at high pruning fractions. The experiment controls for architecture and pruning schedule, isolating the optimizer variable.</x:v>
      </x:c>
      <x:c r="H35" s="9" t="str">
        <x:v>在 VGG19 的跨优化器迁移实验中（论文未明确数据集），使用带动量 SGD 或 Adam 中一种优化器产生的彩票，交由另一种优化器评估。在广泛的剪枝比例下，迁移彩票的性能接近直接用目标优化器产生的彩票，尤其是在高剪枝比例下。实验控制了架构和剪枝日程，从而主要隔离了优化器变量。</x:v>
      </x:c>
      <x:c r="I35" s="9" t="str">
        <x:v>观察</x:v>
      </x:c>
      <x:c r="J35" s="9" t="str">
        <x:v>LKM 提取的关键实验观察</x:v>
      </x:c>
      <x:c r="K35" s="9" t="str">
        <x:v>支持证据</x:v>
      </x:c>
      <x:c r="L35" s="9" t="str">
        <x:v>§4.3 跨优化器迁移</x:v>
      </x:c>
      <x:c r="M35" s="9" t="str">
        <x:v>Fig. 5</x:v>
      </x:c>
      <x:c r="N35" s="9" t="str">
        <x:v>L150-L159（核心：L153）</x:v>
      </x:c>
      <x:c r="O35"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35" s="9" t="str">
        <x:v>VGG 模型的迁移彩票取得了与源优化器产生的彩票相近的性能。从 SGD 迁移到 Adam 的彩票在低剪枝比例下不如随机彩票，但在高剪枝比例下明显优于随机彩票。</x:v>
      </x:c>
      <x:c r="Q35" s="9" t="str">
        <x:v>paper:867771291879342656::conclusion_3</x:v>
      </x:c>
      <x:c r="R35" s="9" t="str"/>
      <x:c r="S35" s="9" t="str">
        <x:v>01_paper_sample_one_ticket/lkm_coarse_reasoning_graph.json; paper_text_ocr_cleaned.md</x:v>
      </x:c>
      <x:c r="T35" s="9" t="str">
        <x:v>$.data.papers[0].graph.nodes[?(@.id=="paper:867771291879342656::H4")]</x:v>
      </x:c>
      <x:c r="U35" s="9" t="str">
        <x:v>否</x:v>
      </x:c>
      <x:c r="V35" s="9" t="str"/>
      <x:c r="W35" s="9" t="str">
        <x:v>需核对图中读数</x:v>
      </x:c>
      <x:c r="X35" s="9" t="str">
        <x:v>证据贡献说明见 Conclusion_Map 的中文 LKM 评述；原始 metadata 保留在 Raw_Graph_Nodes。</x:v>
      </x:c>
    </x:row>
    <x:row r="36" ht="72" customHeight="1">
      <x:c r="A36" s="9" t="str">
        <x:v>OTWTA-OBS-H05</x:v>
      </x:c>
      <x:c r="B36" s="9" t="str">
        <x:v>graph_highlight</x:v>
      </x:c>
      <x:c r="C36" s="9" t="str">
        <x:v>paper:867771291879342656::H5</x:v>
      </x:c>
      <x:c r="D36" s="9" t="str">
        <x:v>lfac_745c4fd9e6ca523f</x:v>
      </x:c>
      <x:c r="E36" s="9" t="str">
        <x:v>OTWTA-C04</x:v>
      </x:c>
      <x:c r="F36" s="9" t="str">
        <x:v>在将 CIFAR-10 划分为互不重叠的 CIFAR-10a 和 CIFAR-10b 的同分布迁移实验中，CIFAR-10a 彩票迁移到 CIFAR-10b 后，在高剪枝比例下对 VGG19 和 ResNet50 都比随机稀疏初始化取得更高测试准确率。使用互不重叠的留出子集表明，彩票收益并非来自对训练样本的记忆。</x:v>
      </x:c>
      <x:c r="G36" s="9" t="str">
        <x:v>In the within-distribution transfer experiment (CIFAR-10 split into two halves CIFAR-10a and CIFAR-10b), winning tickets from CIFAR-10a transferred to CIFAR-10b improve test accuracy over random sparse initializations at high pruning fractions for both VGG19 and ResNet50. The use of a disjoint held-out split shows that the ticket's benefit is not due to memorization of training samples.</x:v>
      </x:c>
      <x:c r="H36" s="9" t="str">
        <x:v>在将 CIFAR-10 划分为互不重叠的 CIFAR-10a 和 CIFAR-10b 的同分布迁移实验中，CIFAR-10a 彩票迁移到 CIFAR-10b 后，在高剪枝比例下对 VGG19 和 ResNet50 都比随机稀疏初始化取得更高测试准确率。使用互不重叠的留出子集表明，彩票收益并非来自对训练样本的记忆。</x:v>
      </x:c>
      <x:c r="I36" s="9" t="str">
        <x:v>观察</x:v>
      </x:c>
      <x:c r="J36" s="9" t="str">
        <x:v>LKM 提取的关键实验观察</x:v>
      </x:c>
      <x:c r="K36" s="9" t="str">
        <x:v>支持证据</x:v>
      </x:c>
      <x:c r="L36" s="9" t="str">
        <x:v>§4.1 同一数据分布内迁移</x:v>
      </x:c>
      <x:c r="M36" s="9" t="str">
        <x:v>Fig. 2</x:v>
      </x:c>
      <x:c r="N36" s="9" t="str">
        <x:v>L102-L111</x:v>
      </x:c>
      <x:c r="O36" s="9" t="str">
        <x:v>We then asked whether winning tickets generated using CIFAR-10a would produce increased performance on CIFAR-10b. ... For ResNet50 models ... both under-performed random tickets at low pruning fractions.</x:v>
      </x:c>
      <x:c r="P36" s="9" t="str">
        <x:v>随后我们询问，使用 CIFAR-10a 产生的彩票能否提高 CIFAR-10b 上的性能。对于 ResNet50，两类彩票在低剪枝比例下都不如随机彩票。</x:v>
      </x:c>
      <x:c r="Q36" s="9" t="str">
        <x:v>paper:867771291879342656::conclusion_4</x:v>
      </x:c>
      <x:c r="R36" s="9" t="str"/>
      <x:c r="S36" s="9" t="str">
        <x:v>01_paper_sample_one_ticket/lkm_coarse_reasoning_graph.json; paper_text_ocr_cleaned.md</x:v>
      </x:c>
      <x:c r="T36" s="9" t="str">
        <x:v>$.data.papers[0].graph.nodes[?(@.id=="paper:867771291879342656::H5")]</x:v>
      </x:c>
      <x:c r="U36" s="9" t="str">
        <x:v>否</x:v>
      </x:c>
      <x:c r="V36" s="9" t="str"/>
      <x:c r="W36" s="9" t="str">
        <x:v>需核对图中读数</x:v>
      </x:c>
      <x:c r="X36" s="9" t="str">
        <x:v>证据贡献说明见 Conclusion_Map 的中文 LKM 评述；原始 metadata 保留在 Raw_Graph_Nodes。</x:v>
      </x:c>
    </x:row>
    <x:row r="37" ht="72" customHeight="1">
      <x:c r="A37" s="9" t="str">
        <x:v>OTWTA-OBS-H06</x:v>
      </x:c>
      <x:c r="B37" s="9" t="str">
        <x:v>graph_highlight</x:v>
      </x:c>
      <x:c r="C37" s="9" t="str">
        <x:v>paper:867771291879342656::H6</x:v>
      </x:c>
      <x:c r="D37" s="9" t="str">
        <x:v>lfac_58096a5ebe94e02b</x:v>
      </x:c>
      <x:c r="E37" s="9" t="str">
        <x:v>OTWTA-C05</x:v>
      </x:c>
      <x:c r="F37" s="9" t="str">
        <x:v>图 1a 显示，在 CIFAR-10 上训练的 VGG19 中，全局量级剪枝在所有测试剪枝比例（0% 到 99.9%）下都优于逐层剪枝。图 1b 显示，全局剪枝下各层剪枝比例不同：深层卷积层被剪得更多，而第一卷积层即使在总体稀疏度达到 99.9% 时仍保留几乎全部权重。</x:v>
      </x:c>
      <x:c r="G37" s="9" t="str">
        <x:v>Figure 1a shows that global magnitude pruning on VGG19 trained on CIFAR-10 consistently outperforms layerwise pruning across all tested pruning fractions (from 0% pruned to 99.9% pruned). Figure 1b shows that under global pruning, the fraction of pruned weights varies per layer: deeper convolutional layers are pruned more heavily, while the first convolutional layer retains nearly all its weights even at 99.9% overall sparsity.</x:v>
      </x:c>
      <x:c r="H37" s="9" t="str">
        <x:v>图 1a 显示，在 CIFAR-10 上训练的 VGG19 中，全局量级剪枝在所有测试剪枝比例（0% 到 99.9%）下都优于逐层剪枝。图 1b 显示，全局剪枝下各层剪枝比例不同：深层卷积层被剪得更多，而第一卷积层即使在总体稀疏度达到 99.9% 时仍保留几乎全部权重。</x:v>
      </x:c>
      <x:c r="I37" s="9" t="str">
        <x:v>观察</x:v>
      </x:c>
      <x:c r="J37" s="9" t="str">
        <x:v>LKM 提取的关键实验观察</x:v>
      </x:c>
      <x:c r="K37" s="9" t="str">
        <x:v>支持证据</x:v>
      </x:c>
      <x:c r="L37" s="9" t="str">
        <x:v>§3.1 彩票假说——全局剪枝</x:v>
      </x:c>
      <x:c r="M37" s="9" t="str">
        <x:v>Fig. 1</x:v>
      </x:c>
      <x:c r="N37" s="9" t="str">
        <x:v>L77-L80</x:v>
      </x:c>
      <x:c r="O37" s="9" t="str">
        <x:v>We observed that global pruning leads to higher performance than local pruning. ... Global magnitude pruning preferentially prunes weights in deeper layers, leaving the first layer in particular relatively unpruned.</x:v>
      </x:c>
      <x:c r="P37" s="9" t="str">
        <x:v>我们观察到，全局剪枝比逐层剪枝取得更高性能。全局量级剪枝倾向于更多剪除深层权重，而第一层尤其保留了较多参数。</x:v>
      </x:c>
      <x:c r="Q37" s="9" t="str">
        <x:v>paper:867771291879342656::conclusion_5</x:v>
      </x:c>
      <x:c r="R37" s="9" t="str"/>
      <x:c r="S37" s="9" t="str">
        <x:v>01_paper_sample_one_ticket/lkm_coarse_reasoning_graph.json; paper_text_ocr_cleaned.md</x:v>
      </x:c>
      <x:c r="T37" s="9" t="str">
        <x:v>$.data.papers[0].graph.nodes[?(@.id=="paper:867771291879342656::H6")]</x:v>
      </x:c>
      <x:c r="U37" s="9" t="str">
        <x:v>否</x:v>
      </x:c>
      <x:c r="V37" s="9" t="str"/>
      <x:c r="W37" s="9" t="str">
        <x:v>需核对图中读数</x:v>
      </x:c>
      <x:c r="X37" s="9" t="str">
        <x:v>证据贡献说明见 Conclusion_Map 的中文 LKM 评述；原始 metadata 保留在 Raw_Graph_Nodes。</x:v>
      </x:c>
    </x:row>
    <x:row r="38" ht="72" customHeight="1">
      <x:c r="A38" s="9" t="str">
        <x:v>OTWTA-OBS-H07</x:v>
      </x:c>
      <x:c r="B38" s="9" t="str">
        <x:v>graph_highlight</x:v>
      </x:c>
      <x:c r="C38" s="9" t="str">
        <x:v>paper:867771291879342656::H7</x:v>
      </x:c>
      <x:c r="D38" s="9" t="str">
        <x:v>lfac_c6ff5645cff61bd7</x:v>
      </x:c>
      <x:c r="E38" s="9" t="str">
        <x:v>OTWTA-C06</x:v>
      </x:c>
      <x:c r="F38" s="9" t="str">
        <x:v>图 A1 在 CIFAR-10 上的 VGG19 中比较了保留掩码、层内置换掩码和全局置换掩码。保留掩码性能最好，层内置换使性能中度下降，全局置换使性能显著下降。这表明逐层稀疏统计和跨层掩码结构都携带信息。</x:v>
      </x:c>
      <x:c r="G38" s="9" t="str">
        <x:v>Figure A1 compares three mask types (preserved, locally permuted, globally permuted) for VGG19 on CIFAR-10, showing that the preserved mask performs best, locally permuted reduces performance moderately, and globally permuted reduces performance dramatically. This establishes that both layerwise statistics and across-layer mask structure carry information.</x:v>
      </x:c>
      <x:c r="H38" s="9" t="str">
        <x:v>图 A1 在 CIFAR-10 上的 VGG19 中比较了保留掩码、层内置换掩码和全局置换掩码。保留掩码性能最好，层内置换使性能中度下降，全局置换使性能显著下降。这表明逐层稀疏统计和跨层掩码结构都携带信息。</x:v>
      </x:c>
      <x:c r="I38" s="9" t="str">
        <x:v>观察</x:v>
      </x:c>
      <x:c r="J38" s="9" t="str">
        <x:v>LKM 提取的关键实验观察</x:v>
      </x:c>
      <x:c r="K38" s="9" t="str">
        <x:v>支持证据</x:v>
      </x:c>
      <x:c r="L38" s="9" t="str">
        <x:v>§3.1 随机掩码; Appendix A.2 随机化掩码</x:v>
      </x:c>
      <x:c r="M38" s="9" t="str">
        <x:v>Fig. A1</x:v>
      </x:c>
      <x:c r="N38" s="9" t="str">
        <x:v>L83; L242-L261（核心：L258-L261）</x:v>
      </x:c>
      <x:c r="O38" s="9" t="str">
        <x:v>While locally permuting masks damaged performance somewhat, globally permuting the mask results in dramatically worse performance, suggesting that the layerwise statistics derived from training the over-parameterized model are very informative.</x:v>
      </x:c>
      <x:c r="P38" s="9" t="str">
        <x:v>层内置换掩码会在一定程度上损害性能，而全局置换掩码会使性能显著恶化，这表明从过参数化模型训练中得到的逐层统计包含大量信息。</x:v>
      </x:c>
      <x:c r="Q38" s="9" t="str">
        <x:v>paper:867771291879342656::conclusion_6</x:v>
      </x:c>
      <x:c r="R38" s="9" t="str"/>
      <x:c r="S38" s="9" t="str">
        <x:v>01_paper_sample_one_ticket/lkm_coarse_reasoning_graph.json; paper_text_ocr_cleaned.md</x:v>
      </x:c>
      <x:c r="T38" s="9" t="str">
        <x:v>$.data.papers[0].graph.nodes[?(@.id=="paper:867771291879342656::H7")]</x:v>
      </x:c>
      <x:c r="U38" s="9" t="str">
        <x:v>否</x:v>
      </x:c>
      <x:c r="V38" s="9" t="str"/>
      <x:c r="W38" s="9" t="str">
        <x:v>需核对图中读数</x:v>
      </x:c>
      <x:c r="X38" s="9" t="str">
        <x:v>证据贡献说明见 Conclusion_Map 的中文 LKM 评述；原始 metadata 保留在 Raw_Graph_Nodes。</x:v>
      </x:c>
    </x:row>
    <x:row r="39" ht="72" customHeight="1">
      <x:c r="A39" s="9" t="str">
        <x:v>OTWTA-OBS-H08</x:v>
      </x:c>
      <x:c r="B39" s="9" t="str">
        <x:v>graph_highlight</x:v>
      </x:c>
      <x:c r="C39" s="9" t="str">
        <x:v>paper:867771291879342656::H8</x:v>
      </x:c>
      <x:c r="D39" s="9" t="str">
        <x:v>lfac_c9fb5d9571d5a824</x:v>
      </x:c>
      <x:c r="E39" s="9" t="str">
        <x:v>OTWTA-C07</x:v>
      </x:c>
      <x:c r="F39" s="9" t="str">
        <x:v>论文采用延迟重置（小型数据集重置到第 1 个 epoch，ImageNet/Places365 重置到第 3 个 epoch）和迭代量级剪枝（每轮 20%，共 30 轮），在六个数据集上为 VGG19 和 ResNet50 成功产生了中奖彩票，从而使后续迁移实验得以进行。</x:v>
      </x:c>
      <x:c r="G39" s="9" t="str">
        <x:v>Using late resetting (1 epoch for small datasets, 3 epochs for ImageNet/Places365) and iterative magnitude pruning (20% per iteration, 30 iterations), the paper successfully generates winning tickets for VGG19 and ResNet50 on all six datasets (Fashion-MNIST, SVHN, CIFAR-10, CIFAR-100, ImageNet, Places365), enabling the transfer experiments.</x:v>
      </x:c>
      <x:c r="H39" s="9" t="str">
        <x:v>论文采用延迟重置（小型数据集重置到第 1 个 epoch，ImageNet/Places365 重置到第 3 个 epoch）和迭代量级剪枝（每轮 20%，共 30 轮），在六个数据集上为 VGG19 和 ResNet50 成功产生了中奖彩票，从而使后续迁移实验得以进行。</x:v>
      </x:c>
      <x:c r="I39" s="9" t="str">
        <x:v>观察</x:v>
      </x:c>
      <x:c r="J39" s="9" t="str">
        <x:v>LKM 提取的关键实验观察</x:v>
      </x:c>
      <x:c r="K39" s="9" t="str">
        <x:v>支持证据</x:v>
      </x:c>
      <x:c r="L39" s="9" t="str">
        <x:v>§3.1 迭代剪枝 / 延迟重置; Appendix A.1</x:v>
      </x:c>
      <x:c r="M39" s="9" t="str">
        <x:v>—</x:v>
      </x:c>
      <x:c r="N39" s="9" t="str">
        <x:v>L71-L74; L231-L240</x:v>
      </x:c>
      <x:c r="O39" s="9" t="str">
        <x:v>For all models, an iterative pruning rate of 0.2 was used and 30 pruning iterations were performed. ... For Fashion-MNIST, SVHN, CIFAR-10 and CIFAR-100 winning tickets, late resetting of 1 epoch was used. For ImageNet and Places365 winning tickets, late resetting of 3 epochs was used.</x:v>
      </x:c>
      <x:c r="P39" s="9" t="str">
        <x:v>所有模型均采用每轮 0.2 的迭代剪枝率并执行 30 轮剪枝。Fashion-MNIST、SVHN、CIFAR-10 和 CIFAR-100 彩票使用 1 个 epoch 的延迟重置；ImageNet 和 Places365 彩票使用 3 个 epoch 的延迟重置。</x:v>
      </x:c>
      <x:c r="Q39" s="9" t="str">
        <x:v>paper:867771291879342656::conclusion_7</x:v>
      </x:c>
      <x:c r="R39" s="9" t="str"/>
      <x:c r="S39" s="9" t="str">
        <x:v>01_paper_sample_one_ticket/lkm_coarse_reasoning_graph.json; paper_text_ocr_cleaned.md</x:v>
      </x:c>
      <x:c r="T39" s="9" t="str">
        <x:v>$.data.papers[0].graph.nodes[?(@.id=="paper:867771291879342656::H8")]</x:v>
      </x:c>
      <x:c r="U39" s="9" t="str">
        <x:v>否</x:v>
      </x:c>
      <x:c r="V39" s="9" t="str"/>
      <x:c r="W39" s="9" t="str">
        <x:v>已定位原文；待句级复核</x:v>
      </x:c>
      <x:c r="X39" s="9" t="str">
        <x:v>证据贡献说明见 Conclusion_Map 的中文 LKM 评述；原始 metadata 保留在 Raw_Graph_Nodes。</x:v>
      </x:c>
    </x:row>
    <x:row r="40" ht="72" customHeight="1">
      <x:c r="A40" s="9" t="str">
        <x:v>OTWTA-WP-P01</x:v>
      </x:c>
      <x:c r="B40" s="9" t="str">
        <x:v>graph_weakpoint</x:v>
      </x:c>
      <x:c r="C40" s="9" t="str">
        <x:v>paper:867771291879342656::P1</x:v>
      </x:c>
      <x:c r="D40" s="9" t="str">
        <x:v>lfac_cb96d1b77e42b35b</x:v>
      </x:c>
      <x:c r="E40" s="9" t="str">
        <x:v>OTWTA-C02</x:v>
      </x:c>
      <x:c r="F40" s="9" t="str">
        <x:v>在使用 VGG19 和 ResNet50 对多个自然图像数据集进行中奖彩票迁移的实验中，CIFAR-10（10 类、50,000 张训练图像）与 CIFAR-100（100 类、50,000 张训练图像）的比较，不仅改变了输出类别数，也同时改变了类别粒度、图像内容和基线任务难度。因此，CIFAR-100 彩票优于 CIFAR-10 彩票的迁移结果，不能唯一归因于输出类别数量的差异。</x:v>
      </x:c>
      <x:c r="G40" s="9" t="str">
        <x:v>In winning ticket transferability experiments across natural-image datasets with VGG19 and ResNet50 architectures on SVHN, Fashion-MNIST, CIFAR-10, CIFAR-100, ImageNet, and Places365, the comparison between CIFAR-10 (10 classes, 50,000 training images) and CIFAR-100 (100 classes, 50,000 training images) confounds the number of output classes with class granularity (fine-grained versus coarse), image content, and baseline task difficulty. Therefore, the observed superior transferability of CIFAR-100 winning tickets over CIFAR-10 winning tickets cannot be uniquely attributed to the difference in the number of output classes.
      Fig. 3, Fig. 4</x:v>
      </x:c>
      <x:c r="H40" s="9" t="str">
        <x:v>在使用 VGG19 和 ResNet50 对多个自然图像数据集进行中奖彩票迁移的实验中，CIFAR-10（10 类、50,000 张训练图像）与 CIFAR-100（100 类、50,000 张训练图像）的比较，不仅改变了输出类别数，也同时改变了类别粒度、图像内容和基线任务难度。因此，CIFAR-100 彩票优于 CIFAR-10 彩票的迁移结果，不能唯一归因于输出类别数量的差异。</x:v>
      </x:c>
      <x:c r="I40" s="9" t="str">
        <x:v>前提</x:v>
      </x:c>
      <x:c r="J40" s="9" t="str">
        <x:v>分析性反驳前提（非论文直接结论）</x:v>
      </x:c>
      <x:c r="K40" s="9" t="str">
        <x:v>weakpoint / 限制</x:v>
      </x:c>
      <x:c r="L40" s="9" t="str">
        <x:v>§4.2 跨数据集迁移</x:v>
      </x:c>
      <x:c r="M40" s="9" t="str">
        <x:v>Fig. 3, Fig. 4</x:v>
      </x:c>
      <x:c r="N40" s="9" t="str">
        <x:v>L118; L124-L133</x:v>
      </x:c>
      <x:c r="O40" s="9" t="str">
        <x:v>These datasets vary across a number of axes, including grayscale vs. color, input size, number of output classes, and training set size. ... CIFAR-100 tickets generalized better than CIFAR-10 tickets.</x:v>
      </x:c>
      <x:c r="P40" s="9" t="str">
        <x:v>这些数据集在多个维度上不同，包括灰度或彩色、输入尺寸、输出类别数以及训练集大小；CIFAR-100 彩票比 CIFAR-10 彩票泛化得更好。</x:v>
      </x:c>
      <x:c r="Q40" s="9" t="str"/>
      <x:c r="R40" s="9" t="str">
        <x:v>paper:867771291879342656::conclusion_2</x:v>
      </x:c>
      <x:c r="S40" s="9" t="str">
        <x:v>01_paper_sample_one_ticket/lkm_coarse_reasoning_graph.json; paper_text_ocr_cleaned.md</x:v>
      </x:c>
      <x:c r="T40" s="9" t="str">
        <x:v>$.data.papers[0].graph.nodes[?(@.id=="paper:867771291879342656::P1")]</x:v>
      </x:c>
      <x:c r="U40" s="9" t="str">
        <x:v>否</x:v>
      </x:c>
      <x:c r="V40" s="9" t="str"/>
      <x:c r="W40" s="9" t="str">
        <x:v>分析性命题；待复核</x:v>
      </x:c>
      <x:c r="X40" s="9" t="str">
        <x:v>限制理由已合并到中文命题；原始 weakness_reason 保留在 Raw_Graph_Nodes。</x:v>
      </x:c>
    </x:row>
    <x:row r="41" ht="72" customHeight="1">
      <x:c r="A41" s="9" t="str">
        <x:v>OTWTA-WP-P02</x:v>
      </x:c>
      <x:c r="B41" s="9" t="str">
        <x:v>graph_weakpoint</x:v>
      </x:c>
      <x:c r="C41" s="9" t="str">
        <x:v>paper:867771291879342656::P2</x:v>
      </x:c>
      <x:c r="D41" s="9" t="str">
        <x:v>lfac_666bfce3ddeaaf51</x:v>
      </x:c>
      <x:c r="E41" s="9" t="str">
        <x:v>OTWTA-C03</x:v>
      </x:c>
      <x:c r="F41" s="9" t="str">
        <x:v>跨优化器迁移实验将使用带动量 SGD 或 Adam 产生的 VGG19 彩票交由另一种优化器评估，但论文没有明确说明所用自然图像分类数据集，而且只测试了 VGG19 架构。因此，“中奖彩票可以跨优化器泛化”这一观察，目前只得到单一架构和未明确训练数据集的证据支持。</x:v>
      </x:c>
      <x:c r="G41" s="9" t="str">
        <x:v>The cross-optimizer transfer experiments for winning tickets (VGG19 tickets generated with SGD with momentum or Adam, evaluated on the alternate optimizer) were conducted on an unspecified natural-image classification dataset and used only the VGG19 architecture. The observation that winning tickets generalize across optimizers is therefore supported by evidence from a single architecture and an unidentified training dataset.
      Fig. 5</x:v>
      </x:c>
      <x:c r="H41" s="9" t="str">
        <x:v>跨优化器迁移实验将使用带动量 SGD 或 Adam 产生的 VGG19 彩票交由另一种优化器评估，但论文没有明确说明所用自然图像分类数据集，而且只测试了 VGG19 架构。因此，“中奖彩票可以跨优化器泛化”这一观察，目前只得到单一架构和未明确训练数据集的证据支持。</x:v>
      </x:c>
      <x:c r="I41" s="9" t="str">
        <x:v>前提</x:v>
      </x:c>
      <x:c r="J41" s="9" t="str">
        <x:v>分析性反驳前提（非论文直接结论）</x:v>
      </x:c>
      <x:c r="K41" s="9" t="str">
        <x:v>weakpoint / 限制</x:v>
      </x:c>
      <x:c r="L41" s="9" t="str">
        <x:v>§4.3 跨优化器迁移</x:v>
      </x:c>
      <x:c r="M41" s="9" t="str">
        <x:v>Fig. 5</x:v>
      </x:c>
      <x:c r="N41" s="9" t="str">
        <x:v>L150-L159</x:v>
      </x:c>
      <x:c r="O41" s="9" t="str">
        <x:v>The paragraph and Figure 5 caption identify VGG and the two optimizers, but do not identify the dataset; the scope shown in the paper is therefore narrower than the broadest wording of the conclusion.</x:v>
      </x:c>
      <x:c r="P41" s="9" t="str">
        <x:v>正文段落和图 5 图注明确了 VGG 及两种优化器，但没有说明数据集；因此，论文展示的证据范围窄于该结论最宽泛的表述。</x:v>
      </x:c>
      <x:c r="Q41" s="9" t="str"/>
      <x:c r="R41" s="9" t="str">
        <x:v>paper:867771291879342656::conclusion_3</x:v>
      </x:c>
      <x:c r="S41" s="9" t="str">
        <x:v>01_paper_sample_one_ticket/lkm_coarse_reasoning_graph.json; paper_text_ocr_cleaned.md</x:v>
      </x:c>
      <x:c r="T41" s="9" t="str">
        <x:v>$.data.papers[0].graph.nodes[?(@.id=="paper:867771291879342656::P2")]</x:v>
      </x:c>
      <x:c r="U41" s="9" t="str">
        <x:v>否</x:v>
      </x:c>
      <x:c r="V41" s="9" t="str"/>
      <x:c r="W41" s="9" t="str">
        <x:v>分析性命题；待复核</x:v>
      </x:c>
      <x:c r="X41" s="9" t="str">
        <x:v>限制理由已合并到中文命题；原始 weakness_reason 保留在 Raw_Graph_Nodes。</x:v>
      </x:c>
    </x:row>
    <x:row r="42" ht="72" customHeight="1">
      <x:c r="A42" s="9" t="str">
        <x:v>OTWTA-WP-P03</x:v>
      </x:c>
      <x:c r="B42" s="9" t="str">
        <x:v>graph_weakpoint</x:v>
      </x:c>
      <x:c r="C42" s="9" t="str">
        <x:v>paper:867771291879342656::P3</x:v>
      </x:c>
      <x:c r="D42" s="9" t="str">
        <x:v>lfac_745c4fd9e6ca523f</x:v>
      </x:c>
      <x:c r="E42" s="9" t="str">
        <x:v>OTWTA-C04</x:v>
      </x:c>
      <x:c r="F42" s="9" t="str">
        <x:v>同分布迁移实验只使用 CIFAR-10 的一次确定性切分：CIFAR-10a 和 CIFAR-10b 各含 25,000 张训练图像，每类 2,500 张。CIFAR-10a 彩票迁移到 CIFAR-10b 的结果，尚未在 CIFAR-10 的其他随机切分或 ImageNet、SVHN 等其他自然图像数据集上验证。</x:v>
      </x:c>
      <x:c r="G42" s="9" t="str">
        <x:v>The within-distribution transfer experiment uses a single deterministic split of the CIFAR-10 dataset (CIFAR-10a and CIFAR-10b, each containing 25,000 training images with 2,500 images per class). The observed transfer of winning tickets from CIFAR-10a to CIFAR-10b has not been validated on other random splits of CIFAR-10 or on other natural-image datasets such as ImageNet or SVHN.
      Fig. 2</x:v>
      </x:c>
      <x:c r="H42" s="9" t="str">
        <x:v>同分布迁移实验只使用 CIFAR-10 的一次确定性切分：CIFAR-10a 和 CIFAR-10b 各含 25,000 张训练图像，每类 2,500 张。CIFAR-10a 彩票迁移到 CIFAR-10b 的结果，尚未在 CIFAR-10 的其他随机切分或 ImageNet、SVHN 等其他自然图像数据集上验证。</x:v>
      </x:c>
      <x:c r="I42" s="9" t="str">
        <x:v>前提</x:v>
      </x:c>
      <x:c r="J42" s="9" t="str">
        <x:v>分析性反驳前提（非论文直接结论）</x:v>
      </x:c>
      <x:c r="K42" s="9" t="str">
        <x:v>weakpoint / 限制</x:v>
      </x:c>
      <x:c r="L42" s="9" t="str">
        <x:v>§4.1 同一数据分布内迁移</x:v>
      </x:c>
      <x:c r="M42" s="9" t="str">
        <x:v>Fig. 2</x:v>
      </x:c>
      <x:c r="N42" s="9" t="str">
        <x:v>L102-L111</x:v>
      </x:c>
      <x:c r="O42" s="9" t="str">
        <x:v>We then asked whether winning tickets generated using CIFAR-10a would produce increased performance on CIFAR-10b. ... For ResNet50 models ... both under-performed random tickets at low pruning fractions.</x:v>
      </x:c>
      <x:c r="P42" s="9" t="str">
        <x:v>随后我们询问，使用 CIFAR-10a 产生的彩票能否提高 CIFAR-10b 上的性能。对于 ResNet50，两类彩票在低剪枝比例下都不如随机彩票。</x:v>
      </x:c>
      <x:c r="Q42" s="9" t="str"/>
      <x:c r="R42" s="9" t="str">
        <x:v>paper:867771291879342656::conclusion_4</x:v>
      </x:c>
      <x:c r="S42" s="9" t="str">
        <x:v>01_paper_sample_one_ticket/lkm_coarse_reasoning_graph.json; paper_text_ocr_cleaned.md</x:v>
      </x:c>
      <x:c r="T42" s="9" t="str">
        <x:v>$.data.papers[0].graph.nodes[?(@.id=="paper:867771291879342656::P3")]</x:v>
      </x:c>
      <x:c r="U42" s="9" t="str">
        <x:v>否</x:v>
      </x:c>
      <x:c r="V42" s="9" t="str"/>
      <x:c r="W42" s="9" t="str">
        <x:v>分析性命题；待复核</x:v>
      </x:c>
      <x:c r="X42" s="9" t="str">
        <x:v>限制理由已合并到中文命题；原始 weakness_reason 保留在 Raw_Graph_Nodes。</x:v>
      </x:c>
    </x:row>
    <x:row r="43" ht="72" customHeight="1">
      <x:c r="A43" s="9" t="str">
        <x:v>OTWTA-WP-P04</x:v>
      </x:c>
      <x:c r="B43" s="9" t="str">
        <x:v>graph_weakpoint</x:v>
      </x:c>
      <x:c r="C43" s="9" t="str">
        <x:v>paper:867771291879342656::P4</x:v>
      </x:c>
      <x:c r="D43" s="9" t="str">
        <x:v>lfac_58096a5ebe94e02b</x:v>
      </x:c>
      <x:c r="E43" s="9" t="str">
        <x:v>OTWTA-C05</x:v>
      </x:c>
      <x:c r="F43" s="9" t="str">
        <x:v>全局量级剪枝与逐层量级剪枝的比较只在 CIFAR-10 上训练的 VGG19 中进行。实验观察到全局剪枝测试准确率更高，而且在全局日程下，深层卷积层比浅层剪得更多。上述结果尚未在 ResNet50 等其他架构或其他自然图像数据集上验证。</x:v>
      </x:c>
      <x:c r="G43" s="9" t="str">
        <x:v>The comparison between global magnitude pruning and layerwise magnitude pruning for winning-ticket discovery was conducted on VGG19 trained on CIFAR-10. Global pruning produced higher test accuracy than layerwise pruning, and under the global schedule deeper convolutional layers were pruned more heavily than early layers. These observations have not been validated on other architectures such as ResNet50 or on other natural-image datasets.
      Fig. 1</x:v>
      </x:c>
      <x:c r="H43" s="9" t="str">
        <x:v>全局量级剪枝与逐层量级剪枝的比较只在 CIFAR-10 上训练的 VGG19 中进行。实验观察到全局剪枝测试准确率更高，而且在全局日程下，深层卷积层比浅层剪得更多。上述结果尚未在 ResNet50 等其他架构或其他自然图像数据集上验证。</x:v>
      </x:c>
      <x:c r="I43" s="9" t="str">
        <x:v>前提</x:v>
      </x:c>
      <x:c r="J43" s="9" t="str">
        <x:v>分析性反驳前提（非论文直接结论）</x:v>
      </x:c>
      <x:c r="K43" s="9" t="str">
        <x:v>weakpoint / 限制</x:v>
      </x:c>
      <x:c r="L43" s="9" t="str">
        <x:v>§3.1 彩票假说——全局剪枝</x:v>
      </x:c>
      <x:c r="M43" s="9" t="str">
        <x:v>Fig. 1</x:v>
      </x:c>
      <x:c r="N43" s="9" t="str">
        <x:v>L77-L80</x:v>
      </x:c>
      <x:c r="O43" s="9" t="str">
        <x:v>We observed that global pruning leads to higher performance than local pruning. ... Global magnitude pruning preferentially prunes weights in deeper layers, leaving the first layer in particular relatively unpruned.</x:v>
      </x:c>
      <x:c r="P43" s="9" t="str">
        <x:v>我们观察到，全局剪枝比逐层剪枝取得更高性能。全局量级剪枝倾向于更多剪除深层权重，而第一层尤其保留了较多参数。</x:v>
      </x:c>
      <x:c r="Q43" s="9" t="str"/>
      <x:c r="R43" s="9" t="str">
        <x:v>paper:867771291879342656::conclusion_5</x:v>
      </x:c>
      <x:c r="S43" s="9" t="str">
        <x:v>01_paper_sample_one_ticket/lkm_coarse_reasoning_graph.json; paper_text_ocr_cleaned.md</x:v>
      </x:c>
      <x:c r="T43" s="9" t="str">
        <x:v>$.data.papers[0].graph.nodes[?(@.id=="paper:867771291879342656::P4")]</x:v>
      </x:c>
      <x:c r="U43" s="9" t="str">
        <x:v>否</x:v>
      </x:c>
      <x:c r="V43" s="9" t="str"/>
      <x:c r="W43" s="9" t="str">
        <x:v>分析性命题；待复核</x:v>
      </x:c>
      <x:c r="X43" s="9" t="str">
        <x:v>限制理由已合并到中文命题；原始 weakness_reason 保留在 Raw_Graph_Nodes。</x:v>
      </x:c>
    </x:row>
    <x:row r="44" ht="72" customHeight="1">
      <x:c r="A44" s="9" t="str">
        <x:v>OTWTA-WP-P05</x:v>
      </x:c>
      <x:c r="B44" s="9" t="str">
        <x:v>graph_weakpoint</x:v>
      </x:c>
      <x:c r="C44" s="9" t="str">
        <x:v>paper:867771291879342656::P5</x:v>
      </x:c>
      <x:c r="D44" s="9" t="str">
        <x:v>lfac_c6ff5645cff61bd7</x:v>
      </x:c>
      <x:c r="E44" s="9" t="str">
        <x:v>OTWTA-C06</x:v>
      </x:c>
      <x:c r="F44" s="9" t="str">
        <x:v>掩码信息量分析只在 CIFAR-10 上训练的 VGG19 中进行。实验比较了保留的彩票掩码、仅在层内置换的掩码和跨所有层全局置换的掩码；层内置换使性能中度下降，全局置换使性能显著下降。该分析尚未扩展到其他架构或数据集。</x:v>
      </x:c>
      <x:c r="G44" s="9" t="str">
        <x:v>The analysis of mask information content was performed on VGG19 trained on CIFAR-10. Three mask types were compared: preserved winning-ticket masks, masks permuted only within layers (local permutation), and masks permuted across all layers (global permutation). Locally permuting the mask moderately degraded performance while globally permuting the mask dramatically degraded performance. This analysis has not been extended to other architectures or datasets.
      Fig. A1</x:v>
      </x:c>
      <x:c r="H44" s="9" t="str">
        <x:v>掩码信息量分析只在 CIFAR-10 上训练的 VGG19 中进行。实验比较了保留的彩票掩码、仅在层内置换的掩码和跨所有层全局置换的掩码；层内置换使性能中度下降，全局置换使性能显著下降。该分析尚未扩展到其他架构或数据集。</x:v>
      </x:c>
      <x:c r="I44" s="9" t="str">
        <x:v>前提</x:v>
      </x:c>
      <x:c r="J44" s="9" t="str">
        <x:v>分析性反驳前提（非论文直接结论）</x:v>
      </x:c>
      <x:c r="K44" s="9" t="str">
        <x:v>weakpoint / 限制</x:v>
      </x:c>
      <x:c r="L44" s="9" t="str">
        <x:v>§3.1 随机掩码; Appendix A.2 随机化掩码</x:v>
      </x:c>
      <x:c r="M44" s="9" t="str">
        <x:v>Fig. A1</x:v>
      </x:c>
      <x:c r="N44" s="9" t="str">
        <x:v>L83; L242-L261（核心：L258-L261）</x:v>
      </x:c>
      <x:c r="O44" s="9" t="str">
        <x:v>While locally permuting masks damaged performance somewhat, globally permuting the mask results in dramatically worse performance, suggesting that the layerwise statistics derived from training the over-parameterized model are very informative.</x:v>
      </x:c>
      <x:c r="P44" s="9" t="str">
        <x:v>层内置换掩码会在一定程度上损害性能，而全局置换掩码会使性能显著恶化，这表明从过参数化模型训练中得到的逐层统计包含大量信息。</x:v>
      </x:c>
      <x:c r="Q44" s="9" t="str"/>
      <x:c r="R44" s="9" t="str">
        <x:v>paper:867771291879342656::conclusion_6</x:v>
      </x:c>
      <x:c r="S44" s="9" t="str">
        <x:v>01_paper_sample_one_ticket/lkm_coarse_reasoning_graph.json; paper_text_ocr_cleaned.md</x:v>
      </x:c>
      <x:c r="T44" s="9" t="str">
        <x:v>$.data.papers[0].graph.nodes[?(@.id=="paper:867771291879342656::P5")]</x:v>
      </x:c>
      <x:c r="U44" s="9" t="str">
        <x:v>否</x:v>
      </x:c>
      <x:c r="V44" s="9" t="str"/>
      <x:c r="W44" s="9" t="str">
        <x:v>分析性命题；待复核</x:v>
      </x:c>
      <x:c r="X44" s="9" t="str">
        <x:v>限制理由已合并到中文命题；原始 weakness_reason 保留在 Raw_Graph_Nodes。</x:v>
      </x:c>
    </x:row>
    <x:row r="45" ht="72" customHeight="1">
      <x:c r="A45" s="9" t="str">
        <x:v>OTWTA-Q-C01</x:v>
      </x:c>
      <x:c r="B45" s="9" t="str">
        <x:v>graph_subproblem</x:v>
      </x:c>
      <x:c r="C45" s="9" t="str">
        <x:v>paper:867771291879342656::conclusion_1_subproblem</x:v>
      </x:c>
      <x:c r="D45" s="9" t="str"/>
      <x:c r="E45" s="9" t="str">
        <x:v>OTWTA-C01</x:v>
      </x:c>
      <x:c r="F45" s="9" t="str">
        <x:v>在使用过参数化卷积网络（VGG19 和 ResNet50）进行监督图像分类时，研究者希望找到一种初始化方案，使高度稀疏的子网络无需针对每个目标任务反复搜索完整模型，也能训练到较高性能。以往通常在与评估相同的数据集和优化器上，通过迭代量级剪枝和参数重置来发现中奖彩票初始化；这种方法计算成本很高（例如需要 30 轮剪枝与多次完整模型重训），而且尚不清楚所得初始化只编码了特定数据集的信息，还是包含更广泛的归纳偏置。如果中奖彩票依赖特定数据集，每个新目标数据集都要重复昂贵搜索；如果它们具有通用性，则可以复用少量中奖彩票。此前工作没有系统检验同一数据域内的跨数据集迁移，因此尚不知道 ImageNet 等大型数据集得到的彩票是否包含可用于多种自然图像分类任务的可迁移结构。</x:v>
      </x:c>
      <x:c r="G45" s="9" t="str">
        <x:v>In the context of supervised image classification with over-parameterized convolutional networks (VGG19 and ResNet50), researchers sought initialization schemes that permit training highly sparse subnetworks to high performance without requiring repeated full-model search per target task. Prior practice produced winning-ticket initializations by performing iterative magnitude pruning and resetting within the same dataset/optimizer as evaluation; this approach is computationally costly (many full-model re-trainings, e.g., 30 pruning iterations) and leaves open whether the discovered initialization encodes only dataset-specific information or a broader inductive bias. If winning tickets were dataset-specific, then each new target dataset would require the same expensive search, preventing amortization; if they were generic, a small set of winning tickets could be reused. Prior work did not systematically test cross-dataset transfer within the same data domain, so it was unknown whether tickets from large datasets like ImageNet embed transferable structure useful across varied natural-image classification tasks.</x:v>
      </x:c>
      <x:c r="H45" s="9" t="str">
        <x:v>在使用过参数化卷积网络（VGG19 和 ResNet50）进行监督图像分类时，研究者希望找到一种初始化方案，使高度稀疏的子网络无需针对每个目标任务反复搜索完整模型，也能训练到较高性能。以往通常在与评估相同的数据集和优化器上，通过迭代量级剪枝和参数重置来发现中奖彩票初始化；这种方法计算成本很高（例如需要 30 轮剪枝与多次完整模型重训），而且尚不清楚所得初始化只编码了特定数据集的信息，还是包含更广泛的归纳偏置。如果中奖彩票依赖特定数据集，每个新目标数据集都要重复昂贵搜索；如果它们具有通用性，则可以复用少量中奖彩票。此前工作没有系统检验同一数据域内的跨数据集迁移，因此尚不知道 ImageNet 等大型数据集得到的彩票是否包含可用于多种自然图像分类任务的可迁移结构。</x:v>
      </x:c>
      <x:c r="I45" s="9" t="str">
        <x:v>问题</x:v>
      </x:c>
      <x:c r="J45" s="9" t="str">
        <x:v>LKM 问题设定</x:v>
      </x:c>
      <x:c r="K45" s="9" t="str">
        <x:v>研究问题/待回答问题</x:v>
      </x:c>
      <x:c r="L45" s="9" t="str">
        <x:v>引言（Introduction）；§4.2 跨数据集迁移</x:v>
      </x:c>
      <x:c r="M45" s="9" t="str">
        <x:v>Fig. 3; Fig. 4</x:v>
      </x:c>
      <x:c r="N45" s="9" t="str">
        <x:v>L41-L44; L118-L145（核心：L121）</x:v>
      </x:c>
      <x:c r="O45" s="9" t="str">
        <x:v>It remains unclear whether the properties of winning tickets ... are specific to the precise combination of architecture, optimizer, and dataset, or whether winning tickets contain inductive biases which improve training more generically.</x:v>
      </x:c>
      <x:c r="P45" s="9" t="str">
        <x:v>中奖彩票的这些性质究竟依赖架构、优化器和数据集的精确组合，还是彩票包含能够更普遍改善训练的归纳偏置，仍不清楚。</x:v>
      </x:c>
      <x:c r="Q45" s="9" t="str"/>
      <x:c r="R45" s="9" t="str"/>
      <x:c r="S45" s="9" t="str">
        <x:v>01_paper_sample_one_ticket/lkm_coarse_reasoning_graph.json; paper_text_ocr_cleaned.md</x:v>
      </x:c>
      <x:c r="T45" s="9" t="str">
        <x:v>$.data.papers[0].graph.nodes[?(@.id=="paper:867771291879342656::conclusion_1_subproblem")]</x:v>
      </x:c>
      <x:c r="U45" s="9" t="str">
        <x:v>否</x:v>
      </x:c>
      <x:c r="V45" s="9" t="str"/>
      <x:c r="W45" s="9" t="str">
        <x:v>问题设定；待确认边界</x:v>
      </x:c>
      <x:c r="X45" s="9" t="str">
        <x:v>该问题由 paper:867771291879342656::conclusion_1 回答。</x:v>
      </x:c>
    </x:row>
    <x:row r="46" ht="72" customHeight="1">
      <x:c r="A46" s="9" t="str">
        <x:v>OTWTA-Q-C02</x:v>
      </x:c>
      <x:c r="B46" s="9" t="str">
        <x:v>graph_subproblem</x:v>
      </x:c>
      <x:c r="C46" s="9" t="str">
        <x:v>paper:867771291879342656::conclusion_2_subproblem</x:v>
      </x:c>
      <x:c r="D46" s="9" t="str"/>
      <x:c r="E46" s="9" t="str">
        <x:v>OTWTA-C02</x:v>
      </x:c>
      <x:c r="F46" s="9" t="str">
        <x:v>实践者需要知道应如何选择或构造源数据集，以产生可复用的中奖彩票初始化。在本研究之前，尚不清楚仅增加样本数、仅增加类别数，或同时增加两者，哪一种能得到更通用的彩票。缺少这一知识时，为摊销昂贵的彩票发现成本而选择源数据集，可能选中只能产生低泛化彩票的次优数据集。弄清哪些数据集属性与可迁移性相关，是判断是否值得在 ImageNet、Places365 等大型且类别丰富的数据集上投入计算的前提。</x:v>
      </x:c>
      <x:c r="G46" s="9" t="str">
        <x:v>Practitioners need guidance about how to choose or construct source datasets for producing reusable winning-ticket initializations. Prior to this study, it was unclear whether increasing only the number of examples, only the number of classes, or both would yield more generic tickets. Without this knowledge, attempts to amortize the expensive ticket-discovery process risked choosing suboptimal source datasets that yield tickets that do not generalize, meaning the search cost could not be shared across tasks. Understanding which dataset properties correlate with transferability is necessary to decide whether investing computation into large, class-rich source datasets (e.g., ImageNet/Places365) will produce broadly useful initializations.</x:v>
      </x:c>
      <x:c r="H46" s="9" t="str">
        <x:v>实践者需要知道应如何选择或构造源数据集，以产生可复用的中奖彩票初始化。在本研究之前，尚不清楚仅增加样本数、仅增加类别数，或同时增加两者，哪一种能得到更通用的彩票。缺少这一知识时，为摊销昂贵的彩票发现成本而选择源数据集，可能选中只能产生低泛化彩票的次优数据集。弄清哪些数据集属性与可迁移性相关，是判断是否值得在 ImageNet、Places365 等大型且类别丰富的数据集上投入计算的前提。</x:v>
      </x:c>
      <x:c r="I46" s="9" t="str">
        <x:v>问题</x:v>
      </x:c>
      <x:c r="J46" s="9" t="str">
        <x:v>LKM 问题设定</x:v>
      </x:c>
      <x:c r="K46" s="9" t="str">
        <x:v>研究问题/待回答问题</x:v>
      </x:c>
      <x:c r="L46" s="9" t="str">
        <x:v>引言（Introduction）；§4.2 跨数据集迁移</x:v>
      </x:c>
      <x:c r="M46" s="9" t="str">
        <x:v>Fig. 3; Fig. 4</x:v>
      </x:c>
      <x:c r="N46" s="9" t="str">
        <x:v>L41-L44; L124-L133</x:v>
      </x:c>
      <x:c r="O46" s="9" t="str">
        <x:v>It remains unclear whether the properties of winning tickets ... are specific to the precise combination of architecture, optimizer, and dataset, or whether winning tickets contain inductive biases which improve training more generically.</x:v>
      </x:c>
      <x:c r="P46" s="9" t="str">
        <x:v>中奖彩票的这些性质究竟依赖架构、优化器和数据集的精确组合，还是彩票包含能够更普遍改善训练的归纳偏置，仍不清楚。</x:v>
      </x:c>
      <x:c r="Q46" s="9" t="str"/>
      <x:c r="R46" s="9" t="str"/>
      <x:c r="S46" s="9" t="str">
        <x:v>01_paper_sample_one_ticket/lkm_coarse_reasoning_graph.json; paper_text_ocr_cleaned.md</x:v>
      </x:c>
      <x:c r="T46" s="9" t="str">
        <x:v>$.data.papers[0].graph.nodes[?(@.id=="paper:867771291879342656::conclusion_2_subproblem")]</x:v>
      </x:c>
      <x:c r="U46" s="9" t="str">
        <x:v>否</x:v>
      </x:c>
      <x:c r="V46" s="9" t="str"/>
      <x:c r="W46" s="9" t="str">
        <x:v>问题设定；待确认边界</x:v>
      </x:c>
      <x:c r="X46" s="9" t="str">
        <x:v>该问题由 paper:867771291879342656::conclusion_2 回答。</x:v>
      </x:c>
    </x:row>
    <x:row r="47" ht="72" customHeight="1">
      <x:c r="A47" s="9" t="str">
        <x:v>OTWTA-Q-C03</x:v>
      </x:c>
      <x:c r="B47" s="9" t="str">
        <x:v>graph_subproblem</x:v>
      </x:c>
      <x:c r="C47" s="9" t="str">
        <x:v>paper:867771291879342656::conclusion_3_subproblem</x:v>
      </x:c>
      <x:c r="D47" s="9" t="str"/>
      <x:c r="E47" s="9" t="str">
        <x:v>OTWTA-C03</x:v>
      </x:c>
      <x:c r="F47" s="9" t="str">
        <x:v>中奖彩票所包含的有益初始化是否依赖特定优化器，过去并不清楚，因为不同优化器遵循不同的优化轨迹，也可能到达参数空间的不同区域。如果彩票依赖优化器，则每种实际使用的优化器都需要单独进行昂贵的彩票搜索，复用价值会受到限制。此前实证工作没有在控制其他因素的情况下系统测量跨优化器迁移（例如 SGD 与 Adam 之间的迁移），因此彩票的归纳偏置是否与发现它的优化算法绑定，仍是开放问题。</x:v>
      </x:c>
      <x:c r="G47" s="9" t="str">
        <x:v>It was unknown whether the beneficial initialization captured by a winning ticket is optimizer-specific because different optimizers follow different optimization trajectories and may make different regions of parameter space reachable. If tickets were optimizer-specific, then for each optimizer of practical interest a separate, expensive ticket discovery would be required, limiting reusability. Prior empirical work had not measured cross-optimizer transfer systematically (e.g., SGD ↔ Adam) while controlling other factors, so it remained an open question whether a ticket's inductive bias is tied to the optimization algorithm used to find it.</x:v>
      </x:c>
      <x:c r="H47" s="9" t="str">
        <x:v>中奖彩票所包含的有益初始化是否依赖特定优化器，过去并不清楚，因为不同优化器遵循不同的优化轨迹，也可能到达参数空间的不同区域。如果彩票依赖优化器，则每种实际使用的优化器都需要单独进行昂贵的彩票搜索，复用价值会受到限制。此前实证工作没有在控制其他因素的情况下系统测量跨优化器迁移（例如 SGD 与 Adam 之间的迁移），因此彩票的归纳偏置是否与发现它的优化算法绑定，仍是开放问题。</x:v>
      </x:c>
      <x:c r="I47" s="9" t="str">
        <x:v>问题</x:v>
      </x:c>
      <x:c r="J47" s="9" t="str">
        <x:v>LKM 问题设定</x:v>
      </x:c>
      <x:c r="K47" s="9" t="str">
        <x:v>研究问题/待回答问题</x:v>
      </x:c>
      <x:c r="L47" s="9" t="str">
        <x:v>引言（Introduction）；§4.3 跨优化器迁移</x:v>
      </x:c>
      <x:c r="M47" s="9" t="str">
        <x:v>Fig. 5</x:v>
      </x:c>
      <x:c r="N47" s="9" t="str">
        <x:v>L41-L44; L150-L159（核心：L153）</x:v>
      </x:c>
      <x:c r="O47" s="9" t="str">
        <x:v>It remains unclear whether the properties of winning tickets ... are specific to the precise combination of architecture, optimizer, and dataset, or whether winning tickets contain inductive biases which improve training more generically.</x:v>
      </x:c>
      <x:c r="P47" s="9" t="str">
        <x:v>中奖彩票的这些性质究竟依赖架构、优化器和数据集的精确组合，还是彩票包含能够更普遍改善训练的归纳偏置，仍不清楚。</x:v>
      </x:c>
      <x:c r="Q47" s="9" t="str"/>
      <x:c r="R47" s="9" t="str"/>
      <x:c r="S47" s="9" t="str">
        <x:v>01_paper_sample_one_ticket/lkm_coarse_reasoning_graph.json; paper_text_ocr_cleaned.md</x:v>
      </x:c>
      <x:c r="T47" s="9" t="str">
        <x:v>$.data.papers[0].graph.nodes[?(@.id=="paper:867771291879342656::conclusion_3_subproblem")]</x:v>
      </x:c>
      <x:c r="U47" s="9" t="str">
        <x:v>否</x:v>
      </x:c>
      <x:c r="V47" s="9" t="str"/>
      <x:c r="W47" s="9" t="str">
        <x:v>问题设定；待确认边界</x:v>
      </x:c>
      <x:c r="X47" s="9" t="str">
        <x:v>该问题由 paper:867771291879342656::conclusion_3 回答。</x:v>
      </x:c>
    </x:row>
    <x:row r="48" ht="72" customHeight="1">
      <x:c r="A48" s="9" t="str">
        <x:v>OTWTA-Q-C04</x:v>
      </x:c>
      <x:c r="B48" s="9" t="str">
        <x:v>graph_subproblem</x:v>
      </x:c>
      <x:c r="C48" s="9" t="str">
        <x:v>paper:867771291879342656::conclusion_4_subproblem</x:v>
      </x:c>
      <x:c r="D48" s="9" t="str"/>
      <x:c r="E48" s="9" t="str">
        <x:v>OTWTA-C04</x:v>
      </x:c>
      <x:c r="F48" s="9" t="str">
        <x:v>在主张中奖彩票可以跨数据集复用之前，需要先检查所得彩票是否只编码了所用训练样本的偶然特征，即是否过拟合于具体样本抽取。如果彩票依赖随机样本顺序或特定子集，那么即使面对相似数据也无法复用。此前研究没有区分样本层面的过拟合与分布层面的迁移；证明同分布内的泛化，是进一步论证跨数据集或跨数据域可迁移性的第一步。</x:v>
      </x:c>
      <x:c r="G48" s="9" t="str">
        <x:v>Before reuse of winning tickets across datasets could be plausibly advocated, it was necessary to check whether discovered tickets merely encode idiosyncratic information about the exact training samples used (overfitting to sample draws). If a ticket were specific to the random sample ordering or particular subset, it would not be reusable even across similar data. Prior studies did not separate sample-level overfitting from distribution-level transfer; establishing within-distribution generalization is a first step toward arguing for broader dataset- or domain-level portability.</x:v>
      </x:c>
      <x:c r="H48" s="9" t="str">
        <x:v>在主张中奖彩票可以跨数据集复用之前，需要先检查所得彩票是否只编码了所用训练样本的偶然特征，即是否过拟合于具体样本抽取。如果彩票依赖随机样本顺序或特定子集，那么即使面对相似数据也无法复用。此前研究没有区分样本层面的过拟合与分布层面的迁移；证明同分布内的泛化，是进一步论证跨数据集或跨数据域可迁移性的第一步。</x:v>
      </x:c>
      <x:c r="I48" s="9" t="str">
        <x:v>问题</x:v>
      </x:c>
      <x:c r="J48" s="9" t="str">
        <x:v>LKM 问题设定</x:v>
      </x:c>
      <x:c r="K48" s="9" t="str">
        <x:v>研究问题/待回答问题</x:v>
      </x:c>
      <x:c r="L48" s="9" t="str">
        <x:v>§4.1 同一数据分布内迁移</x:v>
      </x:c>
      <x:c r="M48" s="9" t="str">
        <x:v>Fig. 2</x:v>
      </x:c>
      <x:c r="N48" s="9" t="str">
        <x:v>L102-L111</x:v>
      </x:c>
      <x:c r="O48" s="9" t="str">
        <x:v>We then asked whether winning tickets generated using CIFAR-10a would produce increased performance on CIFAR-10b. ... For ResNet50 models ... both under-performed random tickets at low pruning fractions.</x:v>
      </x:c>
      <x:c r="P48" s="9" t="str">
        <x:v>随后我们询问，使用 CIFAR-10a 产生的彩票能否提高 CIFAR-10b 上的性能。对于 ResNet50，两类彩票在低剪枝比例下都不如随机彩票。</x:v>
      </x:c>
      <x:c r="Q48" s="9" t="str"/>
      <x:c r="R48" s="9" t="str"/>
      <x:c r="S48" s="9" t="str">
        <x:v>01_paper_sample_one_ticket/lkm_coarse_reasoning_graph.json; paper_text_ocr_cleaned.md</x:v>
      </x:c>
      <x:c r="T48" s="9" t="str">
        <x:v>$.data.papers[0].graph.nodes[?(@.id=="paper:867771291879342656::conclusion_4_subproblem")]</x:v>
      </x:c>
      <x:c r="U48" s="9" t="str">
        <x:v>否</x:v>
      </x:c>
      <x:c r="V48" s="9" t="str"/>
      <x:c r="W48" s="9" t="str">
        <x:v>问题设定；待确认边界</x:v>
      </x:c>
      <x:c r="X48" s="9" t="str">
        <x:v>该问题由 paper:867771291879342656::conclusion_4 回答。</x:v>
      </x:c>
    </x:row>
    <x:row r="49" ht="72" customHeight="1">
      <x:c r="A49" s="9" t="str">
        <x:v>OTWTA-Q-C05</x:v>
      </x:c>
      <x:c r="B49" s="9" t="str">
        <x:v>graph_subproblem</x:v>
      </x:c>
      <x:c r="C49" s="9" t="str">
        <x:v>paper:867771291879342656::conclusion_5_subproblem</x:v>
      </x:c>
      <x:c r="D49" s="9" t="str"/>
      <x:c r="E49" s="9" t="str">
        <x:v>OTWTA-C05</x:v>
      </x:c>
      <x:c r="F49" s="9" t="str">
        <x:v>剪枝方法决定掩码结构以及最终保留的稀疏架构。既有工作采用了不同剪枝机制，但尚未统一比较它们对中奖彩票质量和掩码统计的影响。逐层剪枝若强制每层使用相同剪枝比例，可能使参数本就较少的浅层保留过少参数并损害表达能力；全局剪枝可以按层调整剪枝强度，但其对可迁移性和掩码信息量的影响尚未充分刻画。因此，需要确定哪种剪枝方式能产生更强的彩票，以及会形成怎样的逐层稀疏模式。</x:v>
      </x:c>
      <x:c r="G49" s="9" t="str">
        <x:v>Pruning methodology determines the mask structure and hence the remaining sparse architecture; prior work employed different pruning regimes without a unified treatment of their comparative effects on winning-ticket quality and mask statistics. If layerwise pruning forces the same pruning fraction in small early layers it can leave too few parameters in those layers and harm expressivity; conversely, global pruning can adapt pruning intensity across layers but its effects on transferability and mask information content were not fully characterized. Understanding which pruning modality yields stronger tickets and what layerwise sparsity patterns emerge was necessary to choose an effective pruning pipeline for transferable tickets.</x:v>
      </x:c>
      <x:c r="H49" s="9" t="str">
        <x:v>剪枝方法决定掩码结构以及最终保留的稀疏架构。既有工作采用了不同剪枝机制，但尚未统一比较它们对中奖彩票质量和掩码统计的影响。逐层剪枝若强制每层使用相同剪枝比例，可能使参数本就较少的浅层保留过少参数并损害表达能力；全局剪枝可以按层调整剪枝强度，但其对可迁移性和掩码信息量的影响尚未充分刻画。因此，需要确定哪种剪枝方式能产生更强的彩票，以及会形成怎样的逐层稀疏模式。</x:v>
      </x:c>
      <x:c r="I49" s="9" t="str">
        <x:v>问题</x:v>
      </x:c>
      <x:c r="J49" s="9" t="str">
        <x:v>LKM 问题设定</x:v>
      </x:c>
      <x:c r="K49" s="9" t="str">
        <x:v>研究问题/待回答问题</x:v>
      </x:c>
      <x:c r="L49" s="9" t="str">
        <x:v>§3.1 彩票假说——全局剪枝</x:v>
      </x:c>
      <x:c r="M49" s="9" t="str">
        <x:v>Fig. 1</x:v>
      </x:c>
      <x:c r="N49" s="9" t="str">
        <x:v>L77-L80</x:v>
      </x:c>
      <x:c r="O49" s="9" t="str">
        <x:v>We observed that global pruning leads to higher performance than local pruning. ... Global magnitude pruning preferentially prunes weights in deeper layers, leaving the first layer in particular relatively unpruned.</x:v>
      </x:c>
      <x:c r="P49" s="9" t="str">
        <x:v>我们观察到，全局剪枝比逐层剪枝取得更高性能。全局量级剪枝倾向于更多剪除深层权重，而第一层尤其保留了较多参数。</x:v>
      </x:c>
      <x:c r="Q49" s="9" t="str"/>
      <x:c r="R49" s="9" t="str"/>
      <x:c r="S49" s="9" t="str">
        <x:v>01_paper_sample_one_ticket/lkm_coarse_reasoning_graph.json; paper_text_ocr_cleaned.md</x:v>
      </x:c>
      <x:c r="T49" s="9" t="str">
        <x:v>$.data.papers[0].graph.nodes[?(@.id=="paper:867771291879342656::conclusion_5_subproblem")]</x:v>
      </x:c>
      <x:c r="U49" s="9" t="str">
        <x:v>否</x:v>
      </x:c>
      <x:c r="V49" s="9" t="str"/>
      <x:c r="W49" s="9" t="str">
        <x:v>问题设定；待确认边界</x:v>
      </x:c>
      <x:c r="X49" s="9" t="str">
        <x:v>该问题由 paper:867771291879342656::conclusion_5 回答。</x:v>
      </x:c>
    </x:row>
    <x:row r="50" ht="72" customHeight="1">
      <x:c r="A50" s="9" t="str">
        <x:v>OTWTA-Q-C06</x:v>
      </x:c>
      <x:c r="B50" s="9" t="str">
        <x:v>graph_subproblem</x:v>
      </x:c>
      <x:c r="C50" s="9" t="str">
        <x:v>paper:867771291879342656::conclusion_6_subproblem</x:v>
      </x:c>
      <x:c r="D50" s="9" t="str"/>
      <x:c r="E50" s="9" t="str">
        <x:v>OTWTA-C06</x:v>
      </x:c>
      <x:c r="F50" s="9" t="str">
        <x:v>以往将中奖彩票与“随机”稀疏初始化比较时，有时会在随机基线中保留中奖彩票的掩码，因此无法区分性能差异究竟来自保留的连接结构，还是来自保留的初始权重值。这种混淆使人难以判断中奖彩票的优势由掩码拓扑还是初始权重驱动，也可能高估权重值本身的新颖作用。因而需要通过受控的掩码置换实验来定义恰当基线，并明确复用中奖彩票时究竟迁移了什么。</x:v>
      </x:c>
      <x:c r="G50" s="9" t="str">
        <x:v>Prior comparisons between winning tickets and "random" sparse initializations sometimes retained the discovered ticket's mask for the random baseline, confounding whether performance differences arose from preserved connectivity patterns or the retained initial weight values. This ambiguity prevented clear attribution of what aspect of a winning ticket—mask topology or initial weight values—drives its training advantage, and could lead to overestimating the novelty of weight-value effects. A controlled assessment of mask permutations was therefore needed to define appropriate baselines and to isolate what is being transferred when reusing winning tickets.</x:v>
      </x:c>
      <x:c r="H50" s="9" t="str">
        <x:v>以往将中奖彩票与“随机”稀疏初始化比较时，有时会在随机基线中保留中奖彩票的掩码，因此无法区分性能差异究竟来自保留的连接结构，还是来自保留的初始权重值。这种混淆使人难以判断中奖彩票的优势由掩码拓扑还是初始权重驱动，也可能高估权重值本身的新颖作用。因而需要通过受控的掩码置换实验来定义恰当基线，并明确复用中奖彩票时究竟迁移了什么。</x:v>
      </x:c>
      <x:c r="I50" s="9" t="str">
        <x:v>问题</x:v>
      </x:c>
      <x:c r="J50" s="9" t="str">
        <x:v>LKM 问题设定</x:v>
      </x:c>
      <x:c r="K50" s="9" t="str">
        <x:v>研究问题/待回答问题</x:v>
      </x:c>
      <x:c r="L50" s="9" t="str">
        <x:v>§3.1 随机掩码; Appendix A.2 随机化掩码</x:v>
      </x:c>
      <x:c r="M50" s="9" t="str">
        <x:v>Fig. A1（并参照 Fig. 1）</x:v>
      </x:c>
      <x:c r="N50" s="9" t="str">
        <x:v>L83; L242-L261（核心：L258-L261）</x:v>
      </x:c>
      <x:c r="O50" s="9" t="str">
        <x:v>While locally permuting masks damaged performance somewhat, globally permuting the mask results in dramatically worse performance, suggesting that the layerwise statistics derived from training the over-parameterized model are very informative.</x:v>
      </x:c>
      <x:c r="P50" s="9" t="str">
        <x:v>层内置换掩码会在一定程度上损害性能，而全局置换掩码会使性能显著恶化，这表明从过参数化模型训练中得到的逐层统计包含大量信息。</x:v>
      </x:c>
      <x:c r="Q50" s="9" t="str"/>
      <x:c r="R50" s="9" t="str"/>
      <x:c r="S50" s="9" t="str">
        <x:v>01_paper_sample_one_ticket/lkm_coarse_reasoning_graph.json; paper_text_ocr_cleaned.md</x:v>
      </x:c>
      <x:c r="T50" s="9" t="str">
        <x:v>$.data.papers[0].graph.nodes[?(@.id=="paper:867771291879342656::conclusion_6_subproblem")]</x:v>
      </x:c>
      <x:c r="U50" s="9" t="str">
        <x:v>否</x:v>
      </x:c>
      <x:c r="V50" s="9" t="str"/>
      <x:c r="W50" s="9" t="str">
        <x:v>问题设定；待确认边界</x:v>
      </x:c>
      <x:c r="X50" s="9" t="str">
        <x:v>该问题由 paper:867771291879342656::conclusion_6 回答。</x:v>
      </x:c>
    </x:row>
    <x:row r="51" ht="72" customHeight="1">
      <x:c r="A51" s="9" t="str">
        <x:v>OTWTA-Q-C07</x:v>
      </x:c>
      <x:c r="B51" s="9" t="str">
        <x:v>graph_subproblem</x:v>
      </x:c>
      <x:c r="C51" s="9" t="str">
        <x:v>paper:867771291879342656::conclusion_7_subproblem</x:v>
      </x:c>
      <x:c r="D51" s="9" t="str"/>
      <x:c r="E51" s="9" t="str">
        <x:v>OTWTA-C07</x:v>
      </x:c>
      <x:c r="F51" s="9" t="str">
        <x:v>此前在大规模场景中复现彩票假说时，直接重置到第 0 次迭代的朴素策略曾出现失败，后续工作提出延迟重置作为补救。但要在大规模模型上复现中奖彩票，还必须明确并验证具体的剪枝/重置日程和训练超参数。若缺少经过验证的流程，大型数据集和深层架构上的实验可能只是因为日程不佳而无法得到中奖彩票，而不是因为不存在可训练的稀疏子网络。实践者因此需要一套已验证的日程和重置启发式方法。</x:v>
      </x:c>
      <x:c r="G51" s="9" t="str">
        <x:v>Prior demonstrations of lottery-ticket phenomena in large-scale settings encountered failures when applying the naïve reset-to-zero-iteration strategy, and follow-up work proposed late resetting as a remedy; however, reproducing winning tickets at scale requires a concrete, tuned pruning/reset schedule and training hyperparameters to be specified and validated. Without such a specified pipeline, experiments on large datasets and deep architectures risk failing to produce winning tickets simply due to suboptimal schedules rather than absence of sparse trainable subnetworks. Practitioners needed validated schedules and resetting heuristics for producing tickets that can be evaluated for transfer.</x:v>
      </x:c>
      <x:c r="H51" s="9" t="str">
        <x:v>此前在大规模场景中复现彩票假说时，直接重置到第 0 次迭代的朴素策略曾出现失败，后续工作提出延迟重置作为补救。但要在大规模模型上复现中奖彩票，还必须明确并验证具体的剪枝/重置日程和训练超参数。若缺少经过验证的流程，大型数据集和深层架构上的实验可能只是因为日程不佳而无法得到中奖彩票，而不是因为不存在可训练的稀疏子网络。实践者因此需要一套已验证的日程和重置启发式方法。</x:v>
      </x:c>
      <x:c r="I51" s="9" t="str">
        <x:v>问题</x:v>
      </x:c>
      <x:c r="J51" s="9" t="str">
        <x:v>LKM 问题设定</x:v>
      </x:c>
      <x:c r="K51" s="9" t="str">
        <x:v>研究问题/待回答问题</x:v>
      </x:c>
      <x:c r="L51" s="9" t="str">
        <x:v>§3.1 迭代剪枝 / 延迟重置; Appendix A.1</x:v>
      </x:c>
      <x:c r="M51" s="9" t="str">
        <x:v>—</x:v>
      </x:c>
      <x:c r="N51" s="9" t="str">
        <x:v>L71-L74; L231-L240</x:v>
      </x:c>
      <x:c r="O51" s="9" t="str">
        <x:v>For all models, an iterative pruning rate of 0.2 was used and 30 pruning iterations were performed. ... For Fashion-MNIST, SVHN, CIFAR-10 and CIFAR-100 winning tickets, late resetting of 1 epoch was used. For ImageNet and Places365 winning tickets, late resetting of 3 epochs was used.</x:v>
      </x:c>
      <x:c r="P51" s="9" t="str">
        <x:v>所有模型均采用每轮 0.2 的迭代剪枝率并执行 30 轮剪枝。Fashion-MNIST、SVHN、CIFAR-10 和 CIFAR-100 彩票使用 1 个 epoch 的延迟重置；ImageNet 和 Places365 彩票使用 3 个 epoch 的延迟重置。</x:v>
      </x:c>
      <x:c r="Q51" s="9" t="str"/>
      <x:c r="R51" s="9" t="str"/>
      <x:c r="S51" s="9" t="str">
        <x:v>01_paper_sample_one_ticket/lkm_coarse_reasoning_graph.json; paper_text_ocr_cleaned.md</x:v>
      </x:c>
      <x:c r="T51" s="9" t="str">
        <x:v>$.data.papers[0].graph.nodes[?(@.id=="paper:867771291879342656::conclusion_7_subproblem")]</x:v>
      </x:c>
      <x:c r="U51" s="9" t="str">
        <x:v>否</x:v>
      </x:c>
      <x:c r="V51" s="9" t="str"/>
      <x:c r="W51" s="9" t="str">
        <x:v>问题设定；待确认边界</x:v>
      </x:c>
      <x:c r="X51" s="9" t="str">
        <x:v>该问题由 paper:867771291879342656::conclusion_7 回答。</x:v>
      </x:c>
    </x:row>
    <x:row r="52" ht="72" customHeight="1">
      <x:c r="A52" s="9" t="str">
        <x:v>OTWTA-ARG-C01-S01</x:v>
      </x:c>
      <x:c r="B52" s="9" t="str">
        <x:v>graph_reasoning_step</x:v>
      </x:c>
      <x:c r="C52" s="9" t="str">
        <x:v>lfac_38ad8d064f6577f1::step_1</x:v>
      </x:c>
      <x:c r="D52" s="9" t="str">
        <x:v>lfac_38ad8d064f6577f1</x:v>
      </x:c>
      <x:c r="E52" s="9" t="str">
        <x:v>OTWTA-C01</x:v>
      </x:c>
      <x:c r="F52" s="9" t="str">
        <x:v>将“中奖彩票”定义为一种稀疏子网络初始化：它从保留的初始参数值出发单独训练时，可以达到与完整过参数化网络相近的测试准确率。将“随机彩票”定义为具有相同稀疏度的稀疏子网络，其保留权重从原始初始化分布重新抽样，剪枝掩码也可以被随机化；彩票假说是这一概念的理论基础。</x:v>
      </x:c>
      <x:c r="G52" s="9" t="str">
        <x:v>Define "winning ticket" as a sparse sub-network initialization which, when trained in isolation from its preserved initial parameter values, attains test accuracy comparable to the full over-parameterized network; define "random ticket" as a sparse sub-network with the same sparsity level whose preserved weights are re-drawn from the original initialization distribution and whose pruning mask may be randomized (see later steps for mask types). Cite the lottery ticket hypothesis as the conceptual foundation for this definition. 
[7]</x:v>
      </x:c>
      <x:c r="H52" s="9" t="str">
        <x:v>将“中奖彩票”定义为一种稀疏子网络初始化：它从保留的初始参数值出发单独训练时，可以达到与完整过参数化网络相近的测试准确率。将“随机彩票”定义为具有相同稀疏度的稀疏子网络，其保留权重从原始初始化分布重新抽样，剪枝掩码也可以被随机化；彩票假说是这一概念的理论基础。</x:v>
      </x:c>
      <x:c r="I52" s="9" t="str">
        <x:v>前提</x:v>
      </x:c>
      <x:c r="J52" s="9" t="str">
        <x:v>LKM 推理步骤</x:v>
      </x:c>
      <x:c r="K52" s="9" t="str">
        <x:v>子网络前提/证据</x:v>
      </x:c>
      <x:c r="L52" s="9" t="str">
        <x:v>§4.2 跨数据集迁移</x:v>
      </x:c>
      <x:c r="M52" s="9" t="str">
        <x:v>Fig. 3; Fig. 4</x:v>
      </x:c>
      <x:c r="N52" s="9" t="str">
        <x:v>L118-L145（核心：L121）</x:v>
      </x:c>
      <x:c r="O52" s="9" t="str">
        <x:v>Across all comparisons, several key trends emerged. First and foremost, individual winning tickets which generalize across all datasets with performance close to that of winning tickets generated on the target dataset can be found.</x:v>
      </x:c>
      <x:c r="P52" s="9" t="str">
        <x:v>在所有比较中出现了若干关键趋势。首先也是最重要的是，可以找到能够跨所有数据集泛化的单个中奖彩票，其性能接近直接在目标数据集上产生的彩票。</x:v>
      </x:c>
      <x:c r="Q52" s="9" t="str">
        <x:v>paper:867771291879342656::conclusion_1</x:v>
      </x:c>
      <x:c r="R52" s="9" t="str"/>
      <x:c r="S52" s="9" t="str">
        <x:v>01_paper_sample_one_ticket/lkm_coarse_reasoning_graph.json; paper_text_ocr_cleaned.md</x:v>
      </x:c>
      <x:c r="T52" s="9" t="str">
        <x:v>$.data.papers[0].graph.nodes[?(@.id=="lfac_38ad8d064f6577f1")].steps[?(@.step_id=="1")]</x:v>
      </x:c>
      <x:c r="U52" s="9" t="str">
        <x:v>否</x:v>
      </x:c>
      <x:c r="V52" s="9" t="str"/>
      <x:c r="W52" s="9" t="str">
        <x:v>LKM推理；待逐步审计</x:v>
      </x:c>
      <x:c r="X52" s="9" t="str">
        <x:v>factor subtype=noisy_and; premise_roles={"paper:867771291879342656::H1":"highlight","paper:867771291879342656::H2":"highlight"}</x:v>
      </x:c>
    </x:row>
    <x:row r="53" ht="72" customHeight="1">
      <x:c r="A53" s="9" t="str">
        <x:v>OTWTA-ARG-C01-S02</x:v>
      </x:c>
      <x:c r="B53" s="9" t="str">
        <x:v>graph_reasoning_step</x:v>
      </x:c>
      <x:c r="C53" s="9" t="str">
        <x:v>lfac_38ad8d064f6577f1::step_2</x:v>
      </x:c>
      <x:c r="D53" s="9" t="str">
        <x:v>lfac_38ad8d064f6577f1</x:v>
      </x:c>
      <x:c r="E53" s="9" t="str">
        <x:v>OTWTA-C01</x:v>
      </x:c>
      <x:c r="F53" s="9" t="str">
        <x:v>将“迭代量级剪枝”定义为反复交替执行训练至收敛和删除最小量级权重的过程，每一轮剪除剩余参数中的固定比例。本研究每轮剪枝率为 0.2，即每轮删除剩余参数的 20%。</x:v>
      </x:c>
      <x:c r="G53" s="9" t="str">
        <x:v>Define "iterative magnitude pruning" as a procedure that repeatedly alternates training to convergence and removing the smallest-magnitude weights, pruning a fixed fraction of the remaining parameters at each iteration; in this work the iterative pruning fraction per iteration is $0.2$ (i.e., $20\%$ of remaining parameters removed per pruning iteration). Note that magnitude pruning (pruning by weight magnitude) was originally proposed in prior pruning work. 
[12]</x:v>
      </x:c>
      <x:c r="H53" s="9" t="str">
        <x:v>将“迭代量级剪枝”定义为反复交替执行训练至收敛和删除最小量级权重的过程，每一轮剪除剩余参数中的固定比例。本研究每轮剪枝率为 0.2，即每轮删除剩余参数的 20%。</x:v>
      </x:c>
      <x:c r="I53" s="9" t="str">
        <x:v>前提</x:v>
      </x:c>
      <x:c r="J53" s="9" t="str">
        <x:v>LKM 推理步骤</x:v>
      </x:c>
      <x:c r="K53" s="9" t="str">
        <x:v>子网络前提/证据</x:v>
      </x:c>
      <x:c r="L53" s="9" t="str">
        <x:v>§4.2 跨数据集迁移</x:v>
      </x:c>
      <x:c r="M53" s="9" t="str">
        <x:v>Fig. 3; Fig. 4</x:v>
      </x:c>
      <x:c r="N53" s="9" t="str">
        <x:v>L118-L145（核心：L121）</x:v>
      </x:c>
      <x:c r="O53" s="9" t="str">
        <x:v>Across all comparisons, several key trends emerged. First and foremost, individual winning tickets which generalize across all datasets with performance close to that of winning tickets generated on the target dataset can be found.</x:v>
      </x:c>
      <x:c r="P53" s="9" t="str">
        <x:v>在所有比较中出现了若干关键趋势。首先也是最重要的是，可以找到能够跨所有数据集泛化的单个中奖彩票，其性能接近直接在目标数据集上产生的彩票。</x:v>
      </x:c>
      <x:c r="Q53" s="9" t="str">
        <x:v>paper:867771291879342656::conclusion_1</x:v>
      </x:c>
      <x:c r="R53" s="9" t="str"/>
      <x:c r="S53" s="9" t="str">
        <x:v>01_paper_sample_one_ticket/lkm_coarse_reasoning_graph.json; paper_text_ocr_cleaned.md</x:v>
      </x:c>
      <x:c r="T53" s="9" t="str">
        <x:v>$.data.papers[0].graph.nodes[?(@.id=="lfac_38ad8d064f6577f1")].steps[?(@.step_id=="2")]</x:v>
      </x:c>
      <x:c r="U53" s="9" t="str">
        <x:v>否</x:v>
      </x:c>
      <x:c r="V53" s="9" t="str"/>
      <x:c r="W53" s="9" t="str">
        <x:v>LKM推理；待逐步审计</x:v>
      </x:c>
      <x:c r="X53" s="9" t="str">
        <x:v>factor subtype=noisy_and; premise_roles={"paper:867771291879342656::H1":"highlight","paper:867771291879342656::H2":"highlight"}</x:v>
      </x:c>
    </x:row>
    <x:row r="54" ht="72" customHeight="1">
      <x:c r="A54" s="9" t="str">
        <x:v>OTWTA-ARG-C01-S03</x:v>
      </x:c>
      <x:c r="B54" s="9" t="str">
        <x:v>graph_reasoning_step</x:v>
      </x:c>
      <x:c r="C54" s="9" t="str">
        <x:v>lfac_38ad8d064f6577f1::step_3</x:v>
      </x:c>
      <x:c r="D54" s="9" t="str">
        <x:v>lfac_38ad8d064f6577f1</x:v>
      </x:c>
      <x:c r="E54" s="9" t="str">
        <x:v>OTWTA-C01</x:v>
      </x:c>
      <x:c r="F54" s="9" t="str">
        <x:v>将“延迟重置”定义为把剩余未剪权重重置到较早训练迭代 k 时的值，而不是第 0 次迭代的参数。实验中，Fashion-MNIST、SVHN、CIFAR-10 和 CIFAR-100 重置到训练 1 个 epoch 后，ImageNet 和 Places365 重置到训练 3 个 epoch 后。</x:v>
      </x:c>
      <x:c r="G54" s="9" t="str">
        <x:v>Define "late resetting" as resetting the remaining (unpruned) weights to their values at some early training iteration $k$ (with $k$ much smaller than the total number of training iterations) rather than to the parameters at iteration $0$; late resetting has been found to improve winning-ticket recovery in large models. In these experiments, late resetting values used were: reset to parameters after 1 epoch for Fashion-MNIST, SVHN, CIFAR-10, and CIFAR-100, and reset to parameters after 3 epochs for ImageNet and Places365. 
[8]</x:v>
      </x:c>
      <x:c r="H54" s="9" t="str">
        <x:v>将“延迟重置”定义为把剩余未剪权重重置到较早训练迭代 k 时的值，而不是第 0 次迭代的参数。实验中，Fashion-MNIST、SVHN、CIFAR-10 和 CIFAR-100 重置到训练 1 个 epoch 后，ImageNet 和 Places365 重置到训练 3 个 epoch 后。</x:v>
      </x:c>
      <x:c r="I54" s="9" t="str">
        <x:v>前提</x:v>
      </x:c>
      <x:c r="J54" s="9" t="str">
        <x:v>LKM 推理步骤</x:v>
      </x:c>
      <x:c r="K54" s="9" t="str">
        <x:v>子网络前提/证据</x:v>
      </x:c>
      <x:c r="L54" s="9" t="str">
        <x:v>§4.2 跨数据集迁移</x:v>
      </x:c>
      <x:c r="M54" s="9" t="str">
        <x:v>Fig. 3; Fig. 4</x:v>
      </x:c>
      <x:c r="N54" s="9" t="str">
        <x:v>L118-L145（核心：L121）</x:v>
      </x:c>
      <x:c r="O54" s="9" t="str">
        <x:v>Across all comparisons, several key trends emerged. First and foremost, individual winning tickets which generalize across all datasets with performance close to that of winning tickets generated on the target dataset can be found.</x:v>
      </x:c>
      <x:c r="P54" s="9" t="str">
        <x:v>在所有比较中出现了若干关键趋势。首先也是最重要的是，可以找到能够跨所有数据集泛化的单个中奖彩票，其性能接近直接在目标数据集上产生的彩票。</x:v>
      </x:c>
      <x:c r="Q54" s="9" t="str">
        <x:v>paper:867771291879342656::conclusion_1</x:v>
      </x:c>
      <x:c r="R54" s="9" t="str"/>
      <x:c r="S54" s="9" t="str">
        <x:v>01_paper_sample_one_ticket/lkm_coarse_reasoning_graph.json; paper_text_ocr_cleaned.md</x:v>
      </x:c>
      <x:c r="T54" s="9" t="str">
        <x:v>$.data.papers[0].graph.nodes[?(@.id=="lfac_38ad8d064f6577f1")].steps[?(@.step_id=="3")]</x:v>
      </x:c>
      <x:c r="U54" s="9" t="str">
        <x:v>否</x:v>
      </x:c>
      <x:c r="V54" s="9" t="str"/>
      <x:c r="W54" s="9" t="str">
        <x:v>LKM推理；待逐步审计</x:v>
      </x:c>
      <x:c r="X54" s="9" t="str">
        <x:v>factor subtype=noisy_and; premise_roles={"paper:867771291879342656::H1":"highlight","paper:867771291879342656::H2":"highlight"}</x:v>
      </x:c>
    </x:row>
    <x:row r="55" ht="72" customHeight="1">
      <x:c r="A55" s="9" t="str">
        <x:v>OTWTA-ARG-C01-S04</x:v>
      </x:c>
      <x:c r="B55" s="9" t="str">
        <x:v>graph_reasoning_step</x:v>
      </x:c>
      <x:c r="C55" s="9" t="str">
        <x:v>lfac_38ad8d064f6577f1::step_4</x:v>
      </x:c>
      <x:c r="D55" s="9" t="str">
        <x:v>lfac_38ad8d064f6577f1</x:v>
      </x:c>
      <x:c r="E55" s="9" t="str">
        <x:v>OTWTA-C01</x:v>
      </x:c>
      <x:c r="F55" s="9" t="str">
        <x:v>跨数据集迁移实验流程为：在固定架构（VGG19 或 ResNet50）和源数据集上，通过迭代量级剪枝产生中奖彩票；再将该稀疏初始化迁移到目标数据集。若输出类别数不同，则排除并随机重置最终线性分类层；随后在目标数据集上将稀疏子网络训练至收敛，并将测试准确率与随机彩票及直接在目标数据集上发现的彩票比较。比较时按模型族匹配训练超参数。</x:v>
      </x:c>
      <x:c r="G55" s="9" t="str">
        <x:v>Describe the experimental procedure used to evaluate cross-dataset transfer: generate a winning ticket by iterative magnitude pruning (pruning fraction per iteration $0.2$ up to 30 iterations, with late resetting to early-iteration parameters) on a source dataset for a fixed network architecture (either VGG19 or ResNet50), then transfer that sparse initialization to a target dataset by (a) excluding and randomly reinitializing the final linear classification layer if necessary to accommodate a different number of output classes, (b) training the sparse subnetwork from the preserved initialization on the target dataset to convergence, and (c) comparing resulting test accuracy to (i) a random ticket baseline and (ii) a winning ticket discovered directly on the target dataset. Training hyperparameters (learning-rate schedules, number of epochs) were matched per model family during comparisons. 
Fig. 3</x:v>
      </x:c>
      <x:c r="H55" s="9" t="str">
        <x:v>跨数据集迁移实验流程为：在固定架构（VGG19 或 ResNet50）和源数据集上，通过迭代量级剪枝产生中奖彩票；再将该稀疏初始化迁移到目标数据集。若输出类别数不同，则排除并随机重置最终线性分类层；随后在目标数据集上将稀疏子网络训练至收敛，并将测试准确率与随机彩票及直接在目标数据集上发现的彩票比较。比较时按模型族匹配训练超参数。</x:v>
      </x:c>
      <x:c r="I55" s="9" t="str">
        <x:v>前提</x:v>
      </x:c>
      <x:c r="J55" s="9" t="str">
        <x:v>LKM 推理步骤</x:v>
      </x:c>
      <x:c r="K55" s="9" t="str">
        <x:v>子网络前提/证据</x:v>
      </x:c>
      <x:c r="L55" s="9" t="str">
        <x:v>§4.2 跨数据集迁移</x:v>
      </x:c>
      <x:c r="M55" s="9" t="str">
        <x:v>Fig. 3</x:v>
      </x:c>
      <x:c r="N55" s="9" t="str">
        <x:v>L118-L145（核心：L121）</x:v>
      </x:c>
      <x:c r="O55" s="9" t="str">
        <x:v>Across all comparisons, several key trends emerged. First and foremost, individual winning tickets which generalize across all datasets with performance close to that of winning tickets generated on the target dataset can be found.</x:v>
      </x:c>
      <x:c r="P55" s="9" t="str">
        <x:v>在所有比较中出现了若干关键趋势。首先也是最重要的是，可以找到能够跨所有数据集泛化的单个中奖彩票，其性能接近直接在目标数据集上产生的彩票。</x:v>
      </x:c>
      <x:c r="Q55" s="9" t="str">
        <x:v>paper:867771291879342656::conclusion_1</x:v>
      </x:c>
      <x:c r="R55" s="9" t="str"/>
      <x:c r="S55" s="9" t="str">
        <x:v>01_paper_sample_one_ticket/lkm_coarse_reasoning_graph.json; paper_text_ocr_cleaned.md</x:v>
      </x:c>
      <x:c r="T55" s="9" t="str">
        <x:v>$.data.papers[0].graph.nodes[?(@.id=="lfac_38ad8d064f6577f1")].steps[?(@.step_id=="4")]</x:v>
      </x:c>
      <x:c r="U55" s="9" t="str">
        <x:v>否</x:v>
      </x:c>
      <x:c r="V55" s="9" t="str"/>
      <x:c r="W55" s="9" t="str">
        <x:v>LKM推理；待逐步审计</x:v>
      </x:c>
      <x:c r="X55" s="9" t="str">
        <x:v>factor subtype=noisy_and; premise_roles={"paper:867771291879342656::H1":"highlight","paper:867771291879342656::H2":"highlight"}</x:v>
      </x:c>
    </x:row>
    <x:row r="56" ht="72" customHeight="1">
      <x:c r="A56" s="9" t="str">
        <x:v>OTWTA-ARG-C01-S05</x:v>
      </x:c>
      <x:c r="B56" s="9" t="str">
        <x:v>graph_reasoning_step</x:v>
      </x:c>
      <x:c r="C56" s="9" t="str">
        <x:v>lfac_38ad8d064f6577f1::step_5</x:v>
      </x:c>
      <x:c r="D56" s="9" t="str">
        <x:v>lfac_38ad8d064f6577f1</x:v>
      </x:c>
      <x:c r="E56" s="9" t="str">
        <x:v>OTWTA-C01</x:v>
      </x:c>
      <x:c r="F56" s="9" t="str">
        <x:v>实验观察到，从 ImageNet、Places365 以及较弱程度上的 CIFAR-100 等大型自然图像源数据集迁移到多个目标数据集时，迁移彩票经常取得接近目标数据集专用彩票的测试准确率；源—目标曲线表明，ImageNet 和 Places365 彩票在广泛剪枝比例下与目标专用彩票表现相近。</x:v>
      </x:c>
      <x:c r="G56" s="9" t="str">
        <x:v>Report that, across experiments transferring winning tickets from large, complex natural-image source datasets (ImageNet and Places365, and to a lesser extent CIFAR-100) to many natural-image target datasets (SVHN, Fashion-MNIST, CIFAR-10, CIFAR-100, ImageNet, Places365), the transferred winning-ticket initializations frequently achieved test accuracies on the target tasks that were close to the accuracies obtained by winning tickets discovered directly on those target datasets; this empirical result is summarized by the collection of source-vs-target curves showing that ImageNet- and Places365-sourced tickets attain performance similar to target-specific tickets across a wide range of pruning fractions. 
Fig. 3</x:v>
      </x:c>
      <x:c r="H56" s="9" t="str">
        <x:v>实验观察到，从 ImageNet、Places365 以及较弱程度上的 CIFAR-100 等大型自然图像源数据集迁移到多个目标数据集时，迁移彩票经常取得接近目标数据集专用彩票的测试准确率；源—目标曲线表明，ImageNet 和 Places365 彩票在广泛剪枝比例下与目标专用彩票表现相近。</x:v>
      </x:c>
      <x:c r="I56" s="9" t="str">
        <x:v>观察</x:v>
      </x:c>
      <x:c r="J56" s="9" t="str">
        <x:v>LKM 推理步骤</x:v>
      </x:c>
      <x:c r="K56" s="9" t="str">
        <x:v>子网络前提/证据</x:v>
      </x:c>
      <x:c r="L56" s="9" t="str">
        <x:v>§4.2 跨数据集迁移</x:v>
      </x:c>
      <x:c r="M56" s="9" t="str">
        <x:v>Fig. 3</x:v>
      </x:c>
      <x:c r="N56" s="9" t="str">
        <x:v>L118-L145（核心：L121）</x:v>
      </x:c>
      <x:c r="O56" s="9" t="str">
        <x:v>Across all comparisons, several key trends emerged. First and foremost, individual winning tickets which generalize across all datasets with performance close to that of winning tickets generated on the target dataset can be found.</x:v>
      </x:c>
      <x:c r="P56" s="9" t="str">
        <x:v>在所有比较中出现了若干关键趋势。首先也是最重要的是，可以找到能够跨所有数据集泛化的单个中奖彩票，其性能接近直接在目标数据集上产生的彩票。</x:v>
      </x:c>
      <x:c r="Q56" s="9" t="str">
        <x:v>paper:867771291879342656::conclusion_1</x:v>
      </x:c>
      <x:c r="R56" s="9" t="str"/>
      <x:c r="S56" s="9" t="str">
        <x:v>01_paper_sample_one_ticket/lkm_coarse_reasoning_graph.json; paper_text_ocr_cleaned.md</x:v>
      </x:c>
      <x:c r="T56" s="9" t="str">
        <x:v>$.data.papers[0].graph.nodes[?(@.id=="lfac_38ad8d064f6577f1")].steps[?(@.step_id=="5")]</x:v>
      </x:c>
      <x:c r="U56" s="9" t="str">
        <x:v>否</x:v>
      </x:c>
      <x:c r="V56" s="9" t="str"/>
      <x:c r="W56" s="9" t="str">
        <x:v>LKM推理；待逐步审计</x:v>
      </x:c>
      <x:c r="X56" s="9" t="str">
        <x:v>factor subtype=noisy_and; premise_roles={"paper:867771291879342656::H1":"highlight","paper:867771291879342656::H2":"highlight"}</x:v>
      </x:c>
    </x:row>
    <x:row r="57" ht="72" customHeight="1">
      <x:c r="A57" s="9" t="str">
        <x:v>OTWTA-ARG-C01-S06</x:v>
      </x:c>
      <x:c r="B57" s="9" t="str">
        <x:v>graph_reasoning_step</x:v>
      </x:c>
      <x:c r="C57" s="9" t="str">
        <x:v>lfac_38ad8d064f6577f1::step_6</x:v>
      </x:c>
      <x:c r="D57" s="9" t="str">
        <x:v>lfac_38ad8d064f6577f1</x:v>
      </x:c>
      <x:c r="E57" s="9" t="str">
        <x:v>OTWTA-C01</x:v>
      </x:c>
      <x:c r="F57" s="9" t="str">
        <x:v>迁移能力在广泛剪枝比例、包括极高稀疏度下都能观察到：VGG19 彩票即使剪除 99.9% 权重，准确率下降仍较小；ResNet50 在只剩约 5%—10% 权重时下降更陡。这说明极端稀疏下仍可能迁移，但存在依赖架构的剪枝临界点。</x:v>
      </x:c>
      <x:c r="G57" s="9" t="str">
        <x:v>State that the transferability was observed across a wide range of pruning fractions, including very high sparsity: VGG19 transferred tickets maintained small decreases in accuracy even when $99.9\%$ of weights were pruned (i.e., only $0.1\%$ of parameters remaining), whereas ResNet50 exhibited a sharper degradation when only approximately $5\text{-}10\%$ of weights remained. This supports the claim that transfer occurs even at extreme sparsity levels, subject to architecture-dependent pruning cliffs. 
Fig. 4</x:v>
      </x:c>
      <x:c r="H57" s="9" t="str">
        <x:v>迁移能力在广泛剪枝比例、包括极高稀疏度下都能观察到：VGG19 彩票即使剪除 99.9% 权重，准确率下降仍较小；ResNet50 在只剩约 5%—10% 权重时下降更陡。这说明极端稀疏下仍可能迁移，但存在依赖架构的剪枝临界点。</x:v>
      </x:c>
      <x:c r="I57" s="9" t="str">
        <x:v>观察</x:v>
      </x:c>
      <x:c r="J57" s="9" t="str">
        <x:v>LKM 推理步骤</x:v>
      </x:c>
      <x:c r="K57" s="9" t="str">
        <x:v>子网络前提/证据</x:v>
      </x:c>
      <x:c r="L57" s="9" t="str">
        <x:v>§4.2 跨数据集迁移</x:v>
      </x:c>
      <x:c r="M57" s="9" t="str">
        <x:v>Fig. 4</x:v>
      </x:c>
      <x:c r="N57" s="9" t="str">
        <x:v>L118-L145（核心：L121）</x:v>
      </x:c>
      <x:c r="O57" s="9" t="str">
        <x:v>Across all comparisons, several key trends emerged. First and foremost, individual winning tickets which generalize across all datasets with performance close to that of winning tickets generated on the target dataset can be found.</x:v>
      </x:c>
      <x:c r="P57" s="9" t="str">
        <x:v>在所有比较中出现了若干关键趋势。首先也是最重要的是，可以找到能够跨所有数据集泛化的单个中奖彩票，其性能接近直接在目标数据集上产生的彩票。</x:v>
      </x:c>
      <x:c r="Q57" s="9" t="str">
        <x:v>paper:867771291879342656::conclusion_1</x:v>
      </x:c>
      <x:c r="R57" s="9" t="str"/>
      <x:c r="S57" s="9" t="str">
        <x:v>01_paper_sample_one_ticket/lkm_coarse_reasoning_graph.json; paper_text_ocr_cleaned.md</x:v>
      </x:c>
      <x:c r="T57" s="9" t="str">
        <x:v>$.data.papers[0].graph.nodes[?(@.id=="lfac_38ad8d064f6577f1")].steps[?(@.step_id=="6")]</x:v>
      </x:c>
      <x:c r="U57" s="9" t="str">
        <x:v>否</x:v>
      </x:c>
      <x:c r="V57" s="9" t="str"/>
      <x:c r="W57" s="9" t="str">
        <x:v>LKM推理；待逐步审计</x:v>
      </x:c>
      <x:c r="X57" s="9" t="str">
        <x:v>factor subtype=noisy_and; premise_roles={"paper:867771291879342656::H1":"highlight","paper:867771291879342656::H2":"highlight"}</x:v>
      </x:c>
    </x:row>
    <x:row r="58" ht="72" customHeight="1">
      <x:c r="A58" s="9" t="str">
        <x:v>OTWTA-ARG-C01-S07</x:v>
      </x:c>
      <x:c r="B58" s="9" t="str">
        <x:v>graph_reasoning_step</x:v>
      </x:c>
      <x:c r="C58" s="9" t="str">
        <x:v>lfac_38ad8d064f6577f1::step_7</x:v>
      </x:c>
      <x:c r="D58" s="9" t="str">
        <x:v>lfac_38ad8d064f6577f1</x:v>
      </x:c>
      <x:c r="E58" s="9" t="str">
        <x:v>OTWTA-C01</x:v>
      </x:c>
      <x:c r="F58" s="9" t="str">
        <x:v>大型或类别更丰富的源数据集产生更强的跨数据集迁移。ImageNet 和 Places365 彩票整体最具竞争力；CIFAR-100 与 CIFAR-10 都有 50,000 个训练样本，但前者彩票泛化更好，说明源数据集复杂度的作用不止样本数量。</x:v>
      </x:c>
      <x:c r="G58" s="9" t="str">
        <x:v>Provide the specific observation that larger / more class-rich source datasets produced stronger cross-dataset transfer: tickets sourced from ImageNet and Places365 produced the most consistently competitive transfer performance across target datasets; CIFAR-100 tickets generalized better than CIFAR-10 tickets despite both having $50{,}000$ training examples, indicating that source dataset complexity beyond mere sample count improves transfer. This observation is explicitly discussed in the results and illustrated by the CIFAR-10 vs. CIFAR-100 comparisons in the transfer plots. 
Fig. 3</x:v>
      </x:c>
      <x:c r="H58" s="9" t="str">
        <x:v>大型或类别更丰富的源数据集产生更强的跨数据集迁移。ImageNet 和 Places365 彩票整体最具竞争力；CIFAR-100 与 CIFAR-10 都有 50,000 个训练样本，但前者彩票泛化更好，说明源数据集复杂度的作用不止样本数量。</x:v>
      </x:c>
      <x:c r="I58" s="9" t="str">
        <x:v>观察</x:v>
      </x:c>
      <x:c r="J58" s="9" t="str">
        <x:v>LKM 推理步骤</x:v>
      </x:c>
      <x:c r="K58" s="9" t="str">
        <x:v>子网络前提/证据</x:v>
      </x:c>
      <x:c r="L58" s="9" t="str">
        <x:v>§4.2 跨数据集迁移</x:v>
      </x:c>
      <x:c r="M58" s="9" t="str">
        <x:v>Fig. 3</x:v>
      </x:c>
      <x:c r="N58" s="9" t="str">
        <x:v>L118-L145（核心：L121）</x:v>
      </x:c>
      <x:c r="O58" s="9" t="str">
        <x:v>Across all comparisons, several key trends emerged. First and foremost, individual winning tickets which generalize across all datasets with performance close to that of winning tickets generated on the target dataset can be found.</x:v>
      </x:c>
      <x:c r="P58" s="9" t="str">
        <x:v>在所有比较中出现了若干关键趋势。首先也是最重要的是，可以找到能够跨所有数据集泛化的单个中奖彩票，其性能接近直接在目标数据集上产生的彩票。</x:v>
      </x:c>
      <x:c r="Q58" s="9" t="str">
        <x:v>paper:867771291879342656::conclusion_1</x:v>
      </x:c>
      <x:c r="R58" s="9" t="str"/>
      <x:c r="S58" s="9" t="str">
        <x:v>01_paper_sample_one_ticket/lkm_coarse_reasoning_graph.json; paper_text_ocr_cleaned.md</x:v>
      </x:c>
      <x:c r="T58" s="9" t="str">
        <x:v>$.data.papers[0].graph.nodes[?(@.id=="lfac_38ad8d064f6577f1")].steps[?(@.step_id=="7")]</x:v>
      </x:c>
      <x:c r="U58" s="9" t="str">
        <x:v>否</x:v>
      </x:c>
      <x:c r="V58" s="9" t="str"/>
      <x:c r="W58" s="9" t="str">
        <x:v>LKM推理；待逐步审计</x:v>
      </x:c>
      <x:c r="X58" s="9" t="str">
        <x:v>factor subtype=noisy_and; premise_roles={"paper:867771291879342656::H1":"highlight","paper:867771291879342656::H2":"highlight"}</x:v>
      </x:c>
    </x:row>
    <x:row r="59" ht="72" customHeight="1">
      <x:c r="A59" s="9" t="str">
        <x:v>OTWTA-ARG-C01-S08</x:v>
      </x:c>
      <x:c r="B59" s="9" t="str">
        <x:v>graph_reasoning_step</x:v>
      </x:c>
      <x:c r="C59" s="9" t="str">
        <x:v>lfac_38ad8d064f6577f1::step_8</x:v>
      </x:c>
      <x:c r="D59" s="9" t="str">
        <x:v>lfac_38ad8d064f6577f1</x:v>
      </x:c>
      <x:c r="E59" s="9" t="str">
        <x:v>OTWTA-C01</x:v>
      </x:c>
      <x:c r="F59" s="9" t="str">
        <x:v>实验使用 VGG19 和 ResNet50，并在各架构族内匹配训练日程：VGG19 训练 160 个 epoch，在第 80、120 个 epoch 降低学习率；ResNet50 训练 90 个 epoch，在第 50、65、80 个 epoch 降低学习率。这些控制使源任务与目标任务的迁移比较保持架构和训练日程一致。</x:v>
      </x:c>
      <x:c r="G59" s="9" t="str">
        <x:v>Note that the experimental protocol used VGG19 and ResNet50 architectures (VGG19 with removed fully-connected layers and a global-average-pool to final linear layer; ResNet50 in standard block configuration) and matched training schedules per architecture family (VGG19 trained for 160 epochs with learning-rate drops at epochs 80 and 120; ResNet50 trained for 90 epochs with learning-rate drops at epochs 50, 65, and 80), ensuring that transfer comparisons held architecture and training schedule consistent across source and target evaluations. These architectural and training details contextualize the reported transfer performance. 
[30]</x:v>
      </x:c>
      <x:c r="H59" s="9" t="str">
        <x:v>实验使用 VGG19 和 ResNet50，并在各架构族内匹配训练日程：VGG19 训练 160 个 epoch，在第 80、120 个 epoch 降低学习率；ResNet50 训练 90 个 epoch，在第 50、65、80 个 epoch 降低学习率。这些控制使源任务与目标任务的迁移比较保持架构和训练日程一致。</x:v>
      </x:c>
      <x:c r="I59" s="9" t="str">
        <x:v>观察</x:v>
      </x:c>
      <x:c r="J59" s="9" t="str">
        <x:v>LKM 推理步骤</x:v>
      </x:c>
      <x:c r="K59" s="9" t="str">
        <x:v>子网络前提/证据</x:v>
      </x:c>
      <x:c r="L59" s="9" t="str">
        <x:v>§4.2 跨数据集迁移</x:v>
      </x:c>
      <x:c r="M59" s="9" t="str">
        <x:v>Fig. 3; Fig. 4</x:v>
      </x:c>
      <x:c r="N59" s="9" t="str">
        <x:v>L118-L145（核心：L121）</x:v>
      </x:c>
      <x:c r="O59" s="9" t="str">
        <x:v>Across all comparisons, several key trends emerged. First and foremost, individual winning tickets which generalize across all datasets with performance close to that of winning tickets generated on the target dataset can be found.</x:v>
      </x:c>
      <x:c r="P59" s="9" t="str">
        <x:v>在所有比较中出现了若干关键趋势。首先也是最重要的是，可以找到能够跨所有数据集泛化的单个中奖彩票，其性能接近直接在目标数据集上产生的彩票。</x:v>
      </x:c>
      <x:c r="Q59" s="9" t="str">
        <x:v>paper:867771291879342656::conclusion_1</x:v>
      </x:c>
      <x:c r="R59" s="9" t="str"/>
      <x:c r="S59" s="9" t="str">
        <x:v>01_paper_sample_one_ticket/lkm_coarse_reasoning_graph.json; paper_text_ocr_cleaned.md</x:v>
      </x:c>
      <x:c r="T59" s="9" t="str">
        <x:v>$.data.papers[0].graph.nodes[?(@.id=="lfac_38ad8d064f6577f1")].steps[?(@.step_id=="8")]</x:v>
      </x:c>
      <x:c r="U59" s="9" t="str">
        <x:v>否</x:v>
      </x:c>
      <x:c r="V59" s="9" t="str"/>
      <x:c r="W59" s="9" t="str">
        <x:v>LKM推理；待逐步审计</x:v>
      </x:c>
      <x:c r="X59" s="9" t="str">
        <x:v>factor subtype=noisy_and; premise_roles={"paper:867771291879342656::H1":"highlight","paper:867771291879342656::H2":"highlight"}</x:v>
      </x:c>
    </x:row>
    <x:row r="60" ht="72" customHeight="1">
      <x:c r="A60" s="9" t="str">
        <x:v>OTWTA-ARG-C01-S09</x:v>
      </x:c>
      <x:c r="B60" s="9" t="str">
        <x:v>graph_reasoning_step</x:v>
      </x:c>
      <x:c r="C60" s="9" t="str">
        <x:v>lfac_38ad8d064f6577f1::step_9</x:v>
      </x:c>
      <x:c r="D60" s="9" t="str">
        <x:v>lfac_38ad8d064f6577f1</x:v>
      </x:c>
      <x:c r="E60" s="9" t="str">
        <x:v>OTWTA-C01</x:v>
      </x:c>
      <x:c r="F60" s="9" t="str">
        <x:v>综合定义和实验结果可得：在大型、复杂自然图像源数据集上通过迭代量级剪枝发现的彩票，迁移到其他自然图像目标数据集并训练相同架构时，往往能取得接近目标数据集专用彩票的测试准确率；迁移覆盖广泛剪枝比例，并且大型、类别更丰富的源数据集产生更强迁移。</x:v>
      </x:c>
      <x:c r="G60" s="9" t="str">
        <x:v>Conclude from the preceding experimental definitions and empirical results that winning-ticket initializations discovered by iterative magnitude pruning (iterative pruning rate $0.2$, up to 30 pruning iterations; late resetting to early training iterations) on large, complex natural-image source datasets (ImageNet and Places365, and to a lesser extent CIFAR-100) produce sparse initializations that, when used to train the same architecture on other natural-image target datasets (SVHN, Fashion-MNIST, CIFAR-10, CIFAR-100, ImageNet, Places365), frequently achieve test accuracies on the target tasks that are close to accuracies obtained by winning tickets discovered directly on those targets, with transferability observed across a wide range of pruning fractions and stronger transfer from larger / more class-rich sources. 
Fig. 3</x:v>
      </x:c>
      <x:c r="H60" s="9" t="str">
        <x:v>综合定义和实验结果可得：在大型、复杂自然图像源数据集上通过迭代量级剪枝发现的彩票，迁移到其他自然图像目标数据集并训练相同架构时，往往能取得接近目标数据集专用彩票的测试准确率；迁移覆盖广泛剪枝比例，并且大型、类别更丰富的源数据集产生更强迁移。</x:v>
      </x:c>
      <x:c r="I60" s="9" t="str">
        <x:v>结论</x:v>
      </x:c>
      <x:c r="J60" s="9" t="str">
        <x:v>LKM 推理步骤</x:v>
      </x:c>
      <x:c r="K60" s="9" t="str">
        <x:v>子网络推出步骤</x:v>
      </x:c>
      <x:c r="L60" s="9" t="str">
        <x:v>§4.2 跨数据集迁移</x:v>
      </x:c>
      <x:c r="M60" s="9" t="str">
        <x:v>Fig. 3</x:v>
      </x:c>
      <x:c r="N60" s="9" t="str">
        <x:v>L118-L145（核心：L121）</x:v>
      </x:c>
      <x:c r="O60" s="9" t="str">
        <x:v>Across all comparisons, several key trends emerged. First and foremost, individual winning tickets which generalize across all datasets with performance close to that of winning tickets generated on the target dataset can be found.</x:v>
      </x:c>
      <x:c r="P60" s="9" t="str">
        <x:v>在所有比较中出现了若干关键趋势。首先也是最重要的是，可以找到能够跨所有数据集泛化的单个中奖彩票，其性能接近直接在目标数据集上产生的彩票。</x:v>
      </x:c>
      <x:c r="Q60" s="9" t="str">
        <x:v>paper:867771291879342656::conclusion_1</x:v>
      </x:c>
      <x:c r="R60" s="9" t="str"/>
      <x:c r="S60" s="9" t="str">
        <x:v>01_paper_sample_one_ticket/lkm_coarse_reasoning_graph.json; paper_text_ocr_cleaned.md</x:v>
      </x:c>
      <x:c r="T60" s="9" t="str">
        <x:v>$.data.papers[0].graph.nodes[?(@.id=="lfac_38ad8d064f6577f1")].steps[?(@.step_id=="9")]</x:v>
      </x:c>
      <x:c r="U60" s="9" t="str">
        <x:v>否</x:v>
      </x:c>
      <x:c r="V60" s="9" t="str"/>
      <x:c r="W60" s="9" t="str">
        <x:v>LKM推理；待逐步审计</x:v>
      </x:c>
      <x:c r="X60" s="9" t="str">
        <x:v>factor subtype=noisy_and; premise_roles={"paper:867771291879342656::H1":"highlight","paper:867771291879342656::H2":"highlight"}</x:v>
      </x:c>
    </x:row>
    <x:row r="61" ht="72" customHeight="1">
      <x:c r="A61" s="9" t="str">
        <x:v>OTWTA-ARG-C02-S01</x:v>
      </x:c>
      <x:c r="B61" s="9" t="str">
        <x:v>graph_reasoning_step</x:v>
      </x:c>
      <x:c r="C61" s="9" t="str">
        <x:v>lfac_cb96d1b77e42b35b::step_1</x:v>
      </x:c>
      <x:c r="D61" s="9" t="str">
        <x:v>lfac_cb96d1b77e42b35b</x:v>
      </x:c>
      <x:c r="E61" s="9" t="str">
        <x:v>OTWTA-C02</x:v>
      </x:c>
      <x:c r="F61" s="9" t="str">
        <x:v>将“源数据集规模”定义为训练样本数量，将“类别数量”定义为分类任务输出标签集合的基数；两者都是可能影响模型表征需求的数据集属性。</x:v>
      </x:c>
      <x:c r="G61" s="9" t="str">
        <x:v>Define "source dataset scale" as the size of the training set measured by the number of training examples and define "number of classes" as the cardinality of the output label set for the classification task; both are properties of a dataset that can influence representational demands placed on a model.</x:v>
      </x:c>
      <x:c r="H61" s="9" t="str">
        <x:v>将“源数据集规模”定义为训练样本数量，将“类别数量”定义为分类任务输出标签集合的基数；两者都是可能影响模型表征需求的数据集属性。</x:v>
      </x:c>
      <x:c r="I61" s="9" t="str">
        <x:v>前提</x:v>
      </x:c>
      <x:c r="J61" s="9" t="str">
        <x:v>LKM 推理步骤</x:v>
      </x:c>
      <x:c r="K61" s="9" t="str">
        <x:v>子网络前提/证据</x:v>
      </x:c>
      <x:c r="L61" s="9" t="str">
        <x:v>§4.2 跨数据集迁移</x:v>
      </x:c>
      <x:c r="M61" s="9" t="str">
        <x:v>Fig. 3; Fig. 4</x:v>
      </x:c>
      <x:c r="N61" s="9" t="str">
        <x:v>L124-L133</x:v>
      </x:c>
      <x:c r="O61" s="9" t="str">
        <x:v>We consistently observed that winning tickets generated on larger, more complex datasets generalized substantially better than those generated on small datasets. ... Consistently, CIFAR-100 tickets generalized better than CIFAR-10 tickets.</x:v>
      </x:c>
      <x:c r="P61" s="9" t="str">
        <x:v>我们持续观察到，在更大、更复杂数据集上产生的中奖彩票，比小型数据集产生的彩票具有明显更好的泛化能力。CIFAR-100 彩票也持续优于 CIFAR-10 彩票。</x:v>
      </x:c>
      <x:c r="Q61" s="9" t="str">
        <x:v>paper:867771291879342656::conclusion_2</x:v>
      </x:c>
      <x:c r="R61" s="9" t="str"/>
      <x:c r="S61" s="9" t="str">
        <x:v>01_paper_sample_one_ticket/lkm_coarse_reasoning_graph.json; paper_text_ocr_cleaned.md</x:v>
      </x:c>
      <x:c r="T61" s="9" t="str">
        <x:v>$.data.papers[0].graph.nodes[?(@.id=="lfac_cb96d1b77e42b35b")].steps[?(@.step_id=="1")]</x:v>
      </x:c>
      <x:c r="U61" s="9" t="str">
        <x:v>否</x:v>
      </x:c>
      <x:c r="V61" s="9" t="str"/>
      <x:c r="W61" s="9" t="str">
        <x:v>LKM推理；待逐步审计</x:v>
      </x:c>
      <x:c r="X61" s="9" t="str">
        <x:v>factor subtype=noisy_and; premise_roles={"paper:867771291879342656::H3":"highlight","paper:867771291879342656::P1":"weak_point"}</x:v>
      </x:c>
    </x:row>
    <x:row r="62" ht="72" customHeight="1">
      <x:c r="A62" s="9" t="str">
        <x:v>OTWTA-ARG-C02-S02</x:v>
      </x:c>
      <x:c r="B62" s="9" t="str">
        <x:v>graph_reasoning_step</x:v>
      </x:c>
      <x:c r="C62" s="9" t="str">
        <x:v>lfac_cb96d1b77e42b35b::step_2</x:v>
      </x:c>
      <x:c r="D62" s="9" t="str">
        <x:v>lfac_cb96d1b77e42b35b</x:v>
      </x:c>
      <x:c r="E62" s="9" t="str">
        <x:v>OTWTA-C02</x:v>
      </x:c>
      <x:c r="F62" s="9" t="str">
        <x:v>实证结果表明，从训练样本更多和/或类别更多的大型源数据集中产生的彩票，比小型源数据集产生的彩票更能迁移到新的目标数据集；该趋势在所考察的自然图像数据集中持续出现。</x:v>
      </x:c>
      <x:c r="G62" s="9" t="str">
        <x:v>State the empirical finding that winning tickets generated on larger source datasets (larger in number of training examples and/or number of classes) transferred substantially better to novel target datasets than tickets discovered on smaller source datasets; this trend was observed consistently across the set of natural-image datasets considered (Fashion-MNIST, SVHN, CIFAR-10, CIFAR-100, ImageNet, Places365). The summary claim appears in the Results and Discussion where larger, more complex datasets produced more generic winning tickets. 
Fig. 3</x:v>
      </x:c>
      <x:c r="H62" s="9" t="str">
        <x:v>实证结果表明，从训练样本更多和/或类别更多的大型源数据集中产生的彩票，比小型源数据集产生的彩票更能迁移到新的目标数据集；该趋势在所考察的自然图像数据集中持续出现。</x:v>
      </x:c>
      <x:c r="I62" s="9" t="str">
        <x:v>观察</x:v>
      </x:c>
      <x:c r="J62" s="9" t="str">
        <x:v>LKM 推理步骤</x:v>
      </x:c>
      <x:c r="K62" s="9" t="str">
        <x:v>子网络前提/证据</x:v>
      </x:c>
      <x:c r="L62" s="9" t="str">
        <x:v>§4.2 跨数据集迁移</x:v>
      </x:c>
      <x:c r="M62" s="9" t="str">
        <x:v>Fig. 3</x:v>
      </x:c>
      <x:c r="N62" s="9" t="str">
        <x:v>L124-L133</x:v>
      </x:c>
      <x:c r="O62" s="9" t="str">
        <x:v>We consistently observed that winning tickets generated on larger, more complex datasets generalized substantially better than those generated on small datasets. ... Consistently, CIFAR-100 tickets generalized better than CIFAR-10 tickets.</x:v>
      </x:c>
      <x:c r="P62" s="9" t="str">
        <x:v>我们持续观察到，在更大、更复杂数据集上产生的中奖彩票，比小型数据集产生的彩票具有明显更好的泛化能力。CIFAR-100 彩票也持续优于 CIFAR-10 彩票。</x:v>
      </x:c>
      <x:c r="Q62" s="9" t="str">
        <x:v>paper:867771291879342656::conclusion_2</x:v>
      </x:c>
      <x:c r="R62" s="9" t="str"/>
      <x:c r="S62" s="9" t="str">
        <x:v>01_paper_sample_one_ticket/lkm_coarse_reasoning_graph.json; paper_text_ocr_cleaned.md</x:v>
      </x:c>
      <x:c r="T62" s="9" t="str">
        <x:v>$.data.papers[0].graph.nodes[?(@.id=="lfac_cb96d1b77e42b35b")].steps[?(@.step_id=="2")]</x:v>
      </x:c>
      <x:c r="U62" s="9" t="str">
        <x:v>否</x:v>
      </x:c>
      <x:c r="V62" s="9" t="str"/>
      <x:c r="W62" s="9" t="str">
        <x:v>LKM推理；待逐步审计</x:v>
      </x:c>
      <x:c r="X62" s="9" t="str">
        <x:v>factor subtype=noisy_and; premise_roles={"paper:867771291879342656::H3":"highlight","paper:867771291879342656::P1":"weak_point"}</x:v>
      </x:c>
    </x:row>
    <x:row r="63" ht="72" customHeight="1">
      <x:c r="A63" s="9" t="str">
        <x:v>OTWTA-ARG-C02-S03</x:v>
      </x:c>
      <x:c r="B63" s="9" t="str">
        <x:v>graph_reasoning_step</x:v>
      </x:c>
      <x:c r="C63" s="9" t="str">
        <x:v>lfac_cb96d1b77e42b35b::step_3</x:v>
      </x:c>
      <x:c r="D63" s="9" t="str">
        <x:v>lfac_cb96d1b77e42b35b</x:v>
      </x:c>
      <x:c r="E63" s="9" t="str">
        <x:v>OTWTA-C02</x:v>
      </x:c>
      <x:c r="F63" s="9" t="str">
        <x:v>为表明该效应不能只由训练集大小解释，比较训练样本数同为 50,000 的 CIFAR-10 与 CIFAR-100。两者类别数分别为 10 和 100；CIFAR-100 彩票在多个目标数据集上比 CIFAR-10 彩票泛化更好，包括 Fashion-MNIST 和 SVHN 等简单数据集。该对比将类别数量视为样本数以外的独立预测因素。</x:v>
      </x:c>
      <x:c r="G63" s="9" t="str">
        <x:v>Provide the counterexample used to show that the effect is not solely explained by raw training-set size: compare CIFAR-10 and CIFAR-100, which both have $50{,}000$ total training examples, but differ in number of classes (CIFAR-10 has $10$ classes, CIFAR-100 has $100$ classes); empirically, winning tickets generated on CIFAR-100 generalized better across target datasets than those generated on CIFAR-10, including transfers to simple datasets such as Fashion-MNIST and SVHN. This comparison isolates number of classes as an independent predictor of transferability beyond raw sample count. 
Fig. 3</x:v>
      </x:c>
      <x:c r="H63" s="9" t="str">
        <x:v>为表明该效应不能只由训练集大小解释，比较训练样本数同为 50,000 的 CIFAR-10 与 CIFAR-100。两者类别数分别为 10 和 100；CIFAR-100 彩票在多个目标数据集上比 CIFAR-10 彩票泛化更好，包括 Fashion-MNIST 和 SVHN 等简单数据集。该对比将类别数量视为样本数以外的独立预测因素。</x:v>
      </x:c>
      <x:c r="I63" s="9" t="str">
        <x:v>观察</x:v>
      </x:c>
      <x:c r="J63" s="9" t="str">
        <x:v>LKM 推理步骤</x:v>
      </x:c>
      <x:c r="K63" s="9" t="str">
        <x:v>子网络前提/证据</x:v>
      </x:c>
      <x:c r="L63" s="9" t="str">
        <x:v>§4.2 跨数据集迁移</x:v>
      </x:c>
      <x:c r="M63" s="9" t="str">
        <x:v>Fig. 3</x:v>
      </x:c>
      <x:c r="N63" s="9" t="str">
        <x:v>L124-L133</x:v>
      </x:c>
      <x:c r="O63" s="9" t="str">
        <x:v>We consistently observed that winning tickets generated on larger, more complex datasets generalized substantially better than those generated on small datasets. ... Consistently, CIFAR-100 tickets generalized better than CIFAR-10 tickets.</x:v>
      </x:c>
      <x:c r="P63" s="9" t="str">
        <x:v>我们持续观察到，在更大、更复杂数据集上产生的中奖彩票，比小型数据集产生的彩票具有明显更好的泛化能力。CIFAR-100 彩票也持续优于 CIFAR-10 彩票。</x:v>
      </x:c>
      <x:c r="Q63" s="9" t="str">
        <x:v>paper:867771291879342656::conclusion_2</x:v>
      </x:c>
      <x:c r="R63" s="9" t="str"/>
      <x:c r="S63" s="9" t="str">
        <x:v>01_paper_sample_one_ticket/lkm_coarse_reasoning_graph.json; paper_text_ocr_cleaned.md</x:v>
      </x:c>
      <x:c r="T63" s="9" t="str">
        <x:v>$.data.papers[0].graph.nodes[?(@.id=="lfac_cb96d1b77e42b35b")].steps[?(@.step_id=="3")]</x:v>
      </x:c>
      <x:c r="U63" s="9" t="str">
        <x:v>否</x:v>
      </x:c>
      <x:c r="V63" s="9" t="str"/>
      <x:c r="W63" s="9" t="str">
        <x:v>LKM推理；待逐步审计</x:v>
      </x:c>
      <x:c r="X63" s="9" t="str">
        <x:v>factor subtype=noisy_and; premise_roles={"paper:867771291879342656::H3":"highlight","paper:867771291879342656::P1":"weak_point"}</x:v>
      </x:c>
    </x:row>
    <x:row r="64" ht="72" customHeight="1">
      <x:c r="A64" s="9" t="str">
        <x:v>OTWTA-ARG-C02-S04</x:v>
      </x:c>
      <x:c r="B64" s="9" t="str">
        <x:v>graph_reasoning_step</x:v>
      </x:c>
      <x:c r="C64" s="9" t="str">
        <x:v>lfac_cb96d1b77e42b35b::step_4</x:v>
      </x:c>
      <x:c r="D64" s="9" t="str">
        <x:v>lfac_cb96d1b77e42b35b</x:v>
      </x:c>
      <x:c r="E64" s="9" t="str">
        <x:v>OTWTA-C02</x:v>
      </x:c>
      <x:c r="F64" s="9" t="str">
        <x:v>作者明确指出，来自 ImageNet 和 Places365 的彩票在所有目标任务上最稳定地保持竞争力，这进一步支持更大的训练集、更多类别和更高任务复杂度与更强的彩票泛化相关。</x:v>
      </x:c>
      <x:c r="G64" s="9" t="str">
        <x:v>Note that the authors explicitly state that ImageNet- and Places365-derived tickets produced the most consistently competitive transfer performance across all targets, reinforcing that both larger training-set size and greater task complexity (many classes, diverse images) predict stronger generalization of winning tickets. 
Fig. 3</x:v>
      </x:c>
      <x:c r="H64" s="9" t="str">
        <x:v>作者明确指出，来自 ImageNet 和 Places365 的彩票在所有目标任务上最稳定地保持竞争力，这进一步支持更大的训练集、更多类别和更高任务复杂度与更强的彩票泛化相关。</x:v>
      </x:c>
      <x:c r="I64" s="9" t="str">
        <x:v>观察</x:v>
      </x:c>
      <x:c r="J64" s="9" t="str">
        <x:v>LKM 推理步骤</x:v>
      </x:c>
      <x:c r="K64" s="9" t="str">
        <x:v>子网络前提/证据</x:v>
      </x:c>
      <x:c r="L64" s="9" t="str">
        <x:v>§4.2 跨数据集迁移</x:v>
      </x:c>
      <x:c r="M64" s="9" t="str">
        <x:v>Fig. 3</x:v>
      </x:c>
      <x:c r="N64" s="9" t="str">
        <x:v>L124-L133</x:v>
      </x:c>
      <x:c r="O64" s="9" t="str">
        <x:v>We consistently observed that winning tickets generated on larger, more complex datasets generalized substantially better than those generated on small datasets. ... Consistently, CIFAR-100 tickets generalized better than CIFAR-10 tickets.</x:v>
      </x:c>
      <x:c r="P64" s="9" t="str">
        <x:v>我们持续观察到，在更大、更复杂数据集上产生的中奖彩票，比小型数据集产生的彩票具有明显更好的泛化能力。CIFAR-100 彩票也持续优于 CIFAR-10 彩票。</x:v>
      </x:c>
      <x:c r="Q64" s="9" t="str">
        <x:v>paper:867771291879342656::conclusion_2</x:v>
      </x:c>
      <x:c r="R64" s="9" t="str"/>
      <x:c r="S64" s="9" t="str">
        <x:v>01_paper_sample_one_ticket/lkm_coarse_reasoning_graph.json; paper_text_ocr_cleaned.md</x:v>
      </x:c>
      <x:c r="T64" s="9" t="str">
        <x:v>$.data.papers[0].graph.nodes[?(@.id=="lfac_cb96d1b77e42b35b")].steps[?(@.step_id=="4")]</x:v>
      </x:c>
      <x:c r="U64" s="9" t="str">
        <x:v>否</x:v>
      </x:c>
      <x:c r="V64" s="9" t="str"/>
      <x:c r="W64" s="9" t="str">
        <x:v>LKM推理；待逐步审计</x:v>
      </x:c>
      <x:c r="X64" s="9" t="str">
        <x:v>factor subtype=noisy_and; premise_roles={"paper:867771291879342656::H3":"highlight","paper:867771291879342656::P1":"weak_point"}</x:v>
      </x:c>
    </x:row>
    <x:row r="65" ht="72" customHeight="1">
      <x:c r="A65" s="9" t="str">
        <x:v>OTWTA-ARG-C02-S05</x:v>
      </x:c>
      <x:c r="B65" s="9" t="str">
        <x:v>graph_reasoning_step</x:v>
      </x:c>
      <x:c r="C65" s="9" t="str">
        <x:v>lfac_cb96d1b77e42b35b::step_5</x:v>
      </x:c>
      <x:c r="D65" s="9" t="str">
        <x:v>lfac_cb96d1b77e42b35b</x:v>
      </x:c>
      <x:c r="E65" s="9" t="str">
        <x:v>OTWTA-C02</x:v>
      </x:c>
      <x:c r="F65" s="9" t="str">
        <x:v>根据实验比较和 CIFAR-10/CIFAR-100 对比，可归纳为：训练样本更多、输出类别更多的大型源数据集产生的彩票，比小型源数据集产生的彩票更能迁移到新目标；这种差异不能只用训练样本数解释。</x:v>
      </x:c>
      <x:c r="G65" s="9" t="str">
        <x:v>Conclude that, based on the experimental comparisons and the CIFAR-10 vs CIFAR-100 controlled contrast, winning tickets discovered on larger source datasets—both in terms of number of training examples and number of output classes—transfer substantially better to novel target datasets than tickets discovered on smaller source datasets, and that this difference is not solely explained by raw training-set size because datasets with equal sample sizes but different class counts produced different transfer outcomes.</x:v>
      </x:c>
      <x:c r="H65" s="9" t="str">
        <x:v>根据实验比较和 CIFAR-10/CIFAR-100 对比，可归纳为：训练样本更多、输出类别更多的大型源数据集产生的彩票，比小型源数据集产生的彩票更能迁移到新目标；这种差异不能只用训练样本数解释。</x:v>
      </x:c>
      <x:c r="I65" s="9" t="str">
        <x:v>结论</x:v>
      </x:c>
      <x:c r="J65" s="9" t="str">
        <x:v>LKM 推理步骤</x:v>
      </x:c>
      <x:c r="K65" s="9" t="str">
        <x:v>子网络推出步骤</x:v>
      </x:c>
      <x:c r="L65" s="9" t="str">
        <x:v>§4.2 跨数据集迁移</x:v>
      </x:c>
      <x:c r="M65" s="9" t="str">
        <x:v>Fig. 3; Fig. 4</x:v>
      </x:c>
      <x:c r="N65" s="9" t="str">
        <x:v>L124-L133</x:v>
      </x:c>
      <x:c r="O65" s="9" t="str">
        <x:v>We consistently observed that winning tickets generated on larger, more complex datasets generalized substantially better than those generated on small datasets. ... Consistently, CIFAR-100 tickets generalized better than CIFAR-10 tickets.</x:v>
      </x:c>
      <x:c r="P65" s="9" t="str">
        <x:v>我们持续观察到，在更大、更复杂数据集上产生的中奖彩票，比小型数据集产生的彩票具有明显更好的泛化能力。CIFAR-100 彩票也持续优于 CIFAR-10 彩票。</x:v>
      </x:c>
      <x:c r="Q65" s="9" t="str">
        <x:v>paper:867771291879342656::conclusion_2</x:v>
      </x:c>
      <x:c r="R65" s="9" t="str"/>
      <x:c r="S65" s="9" t="str">
        <x:v>01_paper_sample_one_ticket/lkm_coarse_reasoning_graph.json; paper_text_ocr_cleaned.md</x:v>
      </x:c>
      <x:c r="T65" s="9" t="str">
        <x:v>$.data.papers[0].graph.nodes[?(@.id=="lfac_cb96d1b77e42b35b")].steps[?(@.step_id=="5")]</x:v>
      </x:c>
      <x:c r="U65" s="9" t="str">
        <x:v>否</x:v>
      </x:c>
      <x:c r="V65" s="9" t="str"/>
      <x:c r="W65" s="9" t="str">
        <x:v>LKM推理；待逐步审计</x:v>
      </x:c>
      <x:c r="X65" s="9" t="str">
        <x:v>factor subtype=noisy_and; premise_roles={"paper:867771291879342656::H3":"highlight","paper:867771291879342656::P1":"weak_point"}</x:v>
      </x:c>
    </x:row>
    <x:row r="66" ht="72" customHeight="1">
      <x:c r="A66" s="9" t="str">
        <x:v>OTWTA-ARG-C03-S01</x:v>
      </x:c>
      <x:c r="B66" s="9" t="str">
        <x:v>graph_reasoning_step</x:v>
      </x:c>
      <x:c r="C66" s="9" t="str">
        <x:v>lfac_666bfce3ddeaaf51::step_1</x:v>
      </x:c>
      <x:c r="D66" s="9" t="str">
        <x:v>lfac_666bfce3ddeaaf51</x:v>
      </x:c>
      <x:c r="E66" s="9" t="str">
        <x:v>OTWTA-C03</x:v>
      </x:c>
      <x:c r="F66" s="9" t="str">
        <x:v>定义两种优化器：带动量 SGD 使用动量系数 0.9、学习率 0.1、权重衰减 0.0001；Adam 使用学习率 0.0003、betas=(0.9,0.999)、权重衰减 0.0001。这些是论文实验采用的超参数。</x:v>
      </x:c>
      <x:c r="G66" s="9" t="str">
        <x:v>Define the two optimizers used: "SGD with momentum" means stochastic gradient descent with momentum coefficient $0.9$, learning rate $0.1$, and weight decay $0.0001$ for the authors' SGD experiments; "Adam" denotes the Adam optimizer with learning rate $0.0003$, betas $(0.9,0.999)$, and weight decay $0.0001$ for the authors' Adam experiments. These hyperparameter values are those used in the experiments. 
[16]</x:v>
      </x:c>
      <x:c r="H66" s="9" t="str">
        <x:v>定义两种优化器：带动量 SGD 使用动量系数 0.9、学习率 0.1、权重衰减 0.0001；Adam 使用学习率 0.0003、betas=(0.9,0.999)、权重衰减 0.0001。这些是论文实验采用的超参数。</x:v>
      </x:c>
      <x:c r="I66" s="9" t="str">
        <x:v>前提</x:v>
      </x:c>
      <x:c r="J66" s="9" t="str">
        <x:v>LKM 推理步骤</x:v>
      </x:c>
      <x:c r="K66" s="9" t="str">
        <x:v>子网络前提/证据</x:v>
      </x:c>
      <x:c r="L66" s="9" t="str">
        <x:v>§4.3 跨优化器迁移</x:v>
      </x:c>
      <x:c r="M66" s="9" t="str">
        <x:v>Fig. 5</x:v>
      </x:c>
      <x:c r="N66" s="9" t="str">
        <x:v>L150-L159（核心：L153）</x:v>
      </x:c>
      <x:c r="O66"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66" s="9" t="str">
        <x:v>VGG 模型的迁移彩票取得了与源优化器产生的彩票相近的性能。从 SGD 迁移到 Adam 的彩票在低剪枝比例下不如随机彩票，但在高剪枝比例下明显优于随机彩票。</x:v>
      </x:c>
      <x:c r="Q66" s="9" t="str">
        <x:v>paper:867771291879342656::conclusion_3</x:v>
      </x:c>
      <x:c r="R66" s="9" t="str"/>
      <x:c r="S66" s="9" t="str">
        <x:v>01_paper_sample_one_ticket/lkm_coarse_reasoning_graph.json; paper_text_ocr_cleaned.md</x:v>
      </x:c>
      <x:c r="T66" s="9" t="str">
        <x:v>$.data.papers[0].graph.nodes[?(@.id=="lfac_666bfce3ddeaaf51")].steps[?(@.step_id=="1")]</x:v>
      </x:c>
      <x:c r="U66" s="9" t="str">
        <x:v>否</x:v>
      </x:c>
      <x:c r="V66" s="9" t="str"/>
      <x:c r="W66" s="9" t="str">
        <x:v>LKM推理；待逐步审计</x:v>
      </x:c>
      <x:c r="X66" s="9" t="str">
        <x:v>factor subtype=noisy_and; premise_roles={"paper:867771291879342656::H4":"highlight","paper:867771291879342656::P2":"weak_point"}</x:v>
      </x:c>
    </x:row>
    <x:row r="67" ht="72" customHeight="1">
      <x:c r="A67" s="9" t="str">
        <x:v>OTWTA-ARG-C03-S02</x:v>
      </x:c>
      <x:c r="B67" s="9" t="str">
        <x:v>graph_reasoning_step</x:v>
      </x:c>
      <x:c r="C67" s="9" t="str">
        <x:v>lfac_666bfce3ddeaaf51::step_2</x:v>
      </x:c>
      <x:c r="D67" s="9" t="str">
        <x:v>lfac_666bfce3ddeaaf51</x:v>
      </x:c>
      <x:c r="E67" s="9" t="str">
        <x:v>OTWTA-C03</x:v>
      </x:c>
      <x:c r="F67" s="9" t="str">
        <x:v>跨优化器实验先使用带动量 SGD 或 Adam 中的一种，在固定架构和数据集上结合迭代量级剪枝与延迟重置产生中奖彩票；随后保持稀疏初始化不变，改用另一种优化器在同一数据集和架构上训练，并与目标优化器直接发现的彩票以及随机彩票比较。</x:v>
      </x:c>
      <x:c r="G67" s="9" t="str">
        <x:v>Describe the experimental procedure for optimizer transfer: generate winning tickets using one optimizer (either SGD with momentum or Adam) on a source configuration (architecture and dataset) using iterative magnitude pruning with late resetting, then evaluate the preserved initialization by training the sparse subnetwork on the same dataset and architecture but using the alternate optimizer; compare the transferred-ticket performance to tickets discovered under the target optimizer and to random-ticket baselines.</x:v>
      </x:c>
      <x:c r="H67" s="9" t="str">
        <x:v>跨优化器实验先使用带动量 SGD 或 Adam 中的一种，在固定架构和数据集上结合迭代量级剪枝与延迟重置产生中奖彩票；随后保持稀疏初始化不变，改用另一种优化器在同一数据集和架构上训练，并与目标优化器直接发现的彩票以及随机彩票比较。</x:v>
      </x:c>
      <x:c r="I67" s="9" t="str">
        <x:v>背景</x:v>
      </x:c>
      <x:c r="J67" s="9" t="str">
        <x:v>LKM 推理步骤</x:v>
      </x:c>
      <x:c r="K67" s="9" t="str">
        <x:v>子网络前提/证据</x:v>
      </x:c>
      <x:c r="L67" s="9" t="str">
        <x:v>§4.3 跨优化器迁移</x:v>
      </x:c>
      <x:c r="M67" s="9" t="str">
        <x:v>Fig. 5</x:v>
      </x:c>
      <x:c r="N67" s="9" t="str">
        <x:v>L150-L159（核心：L153）</x:v>
      </x:c>
      <x:c r="O67"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67" s="9" t="str">
        <x:v>VGG 模型的迁移彩票取得了与源优化器产生的彩票相近的性能。从 SGD 迁移到 Adam 的彩票在低剪枝比例下不如随机彩票，但在高剪枝比例下明显优于随机彩票。</x:v>
      </x:c>
      <x:c r="Q67" s="9" t="str">
        <x:v>paper:867771291879342656::conclusion_3</x:v>
      </x:c>
      <x:c r="R67" s="9" t="str"/>
      <x:c r="S67" s="9" t="str">
        <x:v>01_paper_sample_one_ticket/lkm_coarse_reasoning_graph.json; paper_text_ocr_cleaned.md</x:v>
      </x:c>
      <x:c r="T67" s="9" t="str">
        <x:v>$.data.papers[0].graph.nodes[?(@.id=="lfac_666bfce3ddeaaf51")].steps[?(@.step_id=="2")]</x:v>
      </x:c>
      <x:c r="U67" s="9" t="str">
        <x:v>否</x:v>
      </x:c>
      <x:c r="V67" s="9" t="str"/>
      <x:c r="W67" s="9" t="str">
        <x:v>LKM推理；待逐步审计</x:v>
      </x:c>
      <x:c r="X67" s="9" t="str">
        <x:v>factor subtype=noisy_and; premise_roles={"paper:867771291879342656::H4":"highlight","paper:867771291879342656::P2":"weak_point"}</x:v>
      </x:c>
    </x:row>
    <x:row r="68" ht="72" customHeight="1">
      <x:c r="A68" s="9" t="str">
        <x:v>OTWTA-ARG-C03-S03</x:v>
      </x:c>
      <x:c r="B68" s="9" t="str">
        <x:v>graph_reasoning_step</x:v>
      </x:c>
      <x:c r="C68" s="9" t="str">
        <x:v>lfac_666bfce3ddeaaf51::step_3</x:v>
      </x:c>
      <x:c r="D68" s="9" t="str">
        <x:v>lfac_666bfce3ddeaaf51</x:v>
      </x:c>
      <x:c r="E68" s="9" t="str">
        <x:v>OTWTA-C03</x:v>
      </x:c>
      <x:c r="F68" s="9" t="str">
        <x:v>对于 VGG 模型，一种优化器产生的彩票可以泛化到另一种优化器：用带动量 SGD 或 Adam 发现的 VGG19 彩票，改用另一优化器训练时，仍能取得与目标优化器直接发现的彩票相近的较高性能。</x:v>
      </x:c>
      <x:c r="G68" s="9" t="str">
        <x:v>Report the empirical result that, for VGG models, winning-ticket initializations generated with one optimizer generalize to training with a different optimizer: VGG19 tickets found using either SGD with momentum or Adam, when re-used with the alternate optimizer on target datasets, achieve high performance that is comparable to tickets discovered under the target optimizer. This result is summarized by the plotted curves showing similar final accuracies for tickets generated under each optimizer when evaluated with the other. 
Fig. 5</x:v>
      </x:c>
      <x:c r="H68" s="9" t="str">
        <x:v>对于 VGG 模型，一种优化器产生的彩票可以泛化到另一种优化器：用带动量 SGD 或 Adam 发现的 VGG19 彩票，改用另一优化器训练时，仍能取得与目标优化器直接发现的彩票相近的较高性能。</x:v>
      </x:c>
      <x:c r="I68" s="9" t="str">
        <x:v>观察</x:v>
      </x:c>
      <x:c r="J68" s="9" t="str">
        <x:v>LKM 推理步骤</x:v>
      </x:c>
      <x:c r="K68" s="9" t="str">
        <x:v>子网络前提/证据</x:v>
      </x:c>
      <x:c r="L68" s="9" t="str">
        <x:v>§4.3 跨优化器迁移</x:v>
      </x:c>
      <x:c r="M68" s="9" t="str">
        <x:v>Fig. 5</x:v>
      </x:c>
      <x:c r="N68" s="9" t="str">
        <x:v>L150-L159（核心：L153）</x:v>
      </x:c>
      <x:c r="O68"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68" s="9" t="str">
        <x:v>VGG 模型的迁移彩票取得了与源优化器产生的彩票相近的性能。从 SGD 迁移到 Adam 的彩票在低剪枝比例下不如随机彩票，但在高剪枝比例下明显优于随机彩票。</x:v>
      </x:c>
      <x:c r="Q68" s="9" t="str">
        <x:v>paper:867771291879342656::conclusion_3</x:v>
      </x:c>
      <x:c r="R68" s="9" t="str"/>
      <x:c r="S68" s="9" t="str">
        <x:v>01_paper_sample_one_ticket/lkm_coarse_reasoning_graph.json; paper_text_ocr_cleaned.md</x:v>
      </x:c>
      <x:c r="T68" s="9" t="str">
        <x:v>$.data.papers[0].graph.nodes[?(@.id=="lfac_666bfce3ddeaaf51")].steps[?(@.step_id=="3")]</x:v>
      </x:c>
      <x:c r="U68" s="9" t="str">
        <x:v>否</x:v>
      </x:c>
      <x:c r="V68" s="9" t="str"/>
      <x:c r="W68" s="9" t="str">
        <x:v>LKM推理；待逐步审计</x:v>
      </x:c>
      <x:c r="X68" s="9" t="str">
        <x:v>factor subtype=noisy_and; premise_roles={"paper:867771291879342656::H4":"highlight","paper:867771291879342656::P2":"weak_point"}</x:v>
      </x:c>
    </x:row>
    <x:row r="69" ht="72" customHeight="1">
      <x:c r="A69" s="9" t="str">
        <x:v>OTWTA-ARG-C03-S04</x:v>
      </x:c>
      <x:c r="B69" s="9" t="str">
        <x:v>graph_reasoning_step</x:v>
      </x:c>
      <x:c r="C69" s="9" t="str">
        <x:v>lfac_666bfce3ddeaaf51::step_4</x:v>
      </x:c>
      <x:c r="D69" s="9" t="str">
        <x:v>lfac_666bfce3ddeaaf51</x:v>
      </x:c>
      <x:c r="E69" s="9" t="str">
        <x:v>OTWTA-C03</x:v>
      </x:c>
      <x:c r="F69" s="9" t="str">
        <x:v>实验还观察到依赖优化器的差异：从 SGD 迁移到 Adam 的彩票在低剪枝比例下有时不如随机彩票，但在高剪枝比例下则优于随机彩票；这一行为出现在 VGG 模型的 Adam 评估曲线中。</x:v>
      </x:c>
      <x:c r="G69" s="9" t="str">
        <x:v>Describe and report the optimizer-dependent nuance observed: tickets transferred from SGD to Adam sometimes under-perform random tickets at low pruning fractions (i.e., when few weights have been pruned), but these same transferred tickets outperform random tickets at high pruning fractions; this behavior is explicitly shown in the Adam evaluation curves for VGG models. 
Fig. 5</x:v>
      </x:c>
      <x:c r="H69" s="9" t="str">
        <x:v>实验还观察到依赖优化器的差异：从 SGD 迁移到 Adam 的彩票在低剪枝比例下有时不如随机彩票，但在高剪枝比例下则优于随机彩票；这一行为出现在 VGG 模型的 Adam 评估曲线中。</x:v>
      </x:c>
      <x:c r="I69" s="9" t="str">
        <x:v>观察</x:v>
      </x:c>
      <x:c r="J69" s="9" t="str">
        <x:v>LKM 推理步骤</x:v>
      </x:c>
      <x:c r="K69" s="9" t="str">
        <x:v>推理中的限定/反例</x:v>
      </x:c>
      <x:c r="L69" s="9" t="str">
        <x:v>§4.3 跨优化器迁移</x:v>
      </x:c>
      <x:c r="M69" s="9" t="str">
        <x:v>Fig. 5</x:v>
      </x:c>
      <x:c r="N69" s="9" t="str">
        <x:v>L150-L159（核心：L153）</x:v>
      </x:c>
      <x:c r="O69"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69" s="9" t="str">
        <x:v>VGG 模型的迁移彩票取得了与源优化器产生的彩票相近的性能。从 SGD 迁移到 Adam 的彩票在低剪枝比例下不如随机彩票，但在高剪枝比例下明显优于随机彩票。</x:v>
      </x:c>
      <x:c r="Q69" s="9" t="str">
        <x:v>paper:867771291879342656::conclusion_3</x:v>
      </x:c>
      <x:c r="R69" s="9" t="str">
        <x:v>paper:867771291879342656::conclusion_3</x:v>
      </x:c>
      <x:c r="S69" s="9" t="str">
        <x:v>01_paper_sample_one_ticket/lkm_coarse_reasoning_graph.json; paper_text_ocr_cleaned.md</x:v>
      </x:c>
      <x:c r="T69" s="9" t="str">
        <x:v>$.data.papers[0].graph.nodes[?(@.id=="lfac_666bfce3ddeaaf51")].steps[?(@.step_id=="4")]</x:v>
      </x:c>
      <x:c r="U69" s="9" t="str">
        <x:v>否</x:v>
      </x:c>
      <x:c r="V69" s="9" t="str"/>
      <x:c r="W69" s="9" t="str">
        <x:v>LKM推理；待逐步审计</x:v>
      </x:c>
      <x:c r="X69" s="9" t="str">
        <x:v>factor subtype=noisy_and; premise_roles={"paper:867771291879342656::H4":"highlight","paper:867771291879342656::P2":"weak_point"}</x:v>
      </x:c>
    </x:row>
    <x:row r="70" ht="72" customHeight="1">
      <x:c r="A70" s="9" t="str">
        <x:v>OTWTA-ARG-C03-S05</x:v>
      </x:c>
      <x:c r="B70" s="9" t="str">
        <x:v>graph_reasoning_step</x:v>
      </x:c>
      <x:c r="C70" s="9" t="str">
        <x:v>lfac_666bfce3ddeaaf51::step_5</x:v>
      </x:c>
      <x:c r="D70" s="9" t="str">
        <x:v>lfac_666bfce3ddeaaf51</x:v>
      </x:c>
      <x:c r="E70" s="9" t="str">
        <x:v>OTWTA-C03</x:v>
      </x:c>
      <x:c r="F70" s="9" t="str">
        <x:v>由实验和性能曲线可得，在 VGG 模型上，一种优化器产生的中奖彩票可以迁移到另一种优化器，但存在优化器相关的性能差异。</x:v>
      </x:c>
      <x:c r="G70" s="9" t="str">
        <x:v>Conclude that, from the described experiments and observed performance curves, winning-ticket initializations generated with one optimizer generalize to training with a different optimizer for VGG models, with some optimizer-dependent performance nuances (SGD-to-Adam under-performance at low pruning fractions but advantage at high pruning fractions).</x:v>
      </x:c>
      <x:c r="H70" s="9" t="str">
        <x:v>由实验和性能曲线可得，在 VGG 模型上，一种优化器产生的中奖彩票可以迁移到另一种优化器，但存在优化器相关的性能差异。</x:v>
      </x:c>
      <x:c r="I70" s="9" t="str">
        <x:v>结论</x:v>
      </x:c>
      <x:c r="J70" s="9" t="str">
        <x:v>LKM 推理步骤</x:v>
      </x:c>
      <x:c r="K70" s="9" t="str">
        <x:v>推理中的限定/反例</x:v>
      </x:c>
      <x:c r="L70" s="9" t="str">
        <x:v>§4.3 跨优化器迁移</x:v>
      </x:c>
      <x:c r="M70" s="9" t="str">
        <x:v>Fig. 5</x:v>
      </x:c>
      <x:c r="N70" s="9" t="str">
        <x:v>L150-L159（核心：L153）</x:v>
      </x:c>
      <x:c r="O70" s="9" t="str">
        <x:v>Transferred winning tickets for VGG models achieved similar performance as those generated using the source optimizer. ... Tickets transferred from SGD to Adam under-performed random tickets at low pruning fractions, but significantly outperformed random tickets at high pruning fractions.</x:v>
      </x:c>
      <x:c r="P70" s="9" t="str">
        <x:v>VGG 模型的迁移彩票取得了与源优化器产生的彩票相近的性能。从 SGD 迁移到 Adam 的彩票在低剪枝比例下不如随机彩票，但在高剪枝比例下明显优于随机彩票。</x:v>
      </x:c>
      <x:c r="Q70" s="9" t="str">
        <x:v>paper:867771291879342656::conclusion_3</x:v>
      </x:c>
      <x:c r="R70" s="9" t="str">
        <x:v>paper:867771291879342656::conclusion_3</x:v>
      </x:c>
      <x:c r="S70" s="9" t="str">
        <x:v>01_paper_sample_one_ticket/lkm_coarse_reasoning_graph.json; paper_text_ocr_cleaned.md</x:v>
      </x:c>
      <x:c r="T70" s="9" t="str">
        <x:v>$.data.papers[0].graph.nodes[?(@.id=="lfac_666bfce3ddeaaf51")].steps[?(@.step_id=="5")]</x:v>
      </x:c>
      <x:c r="U70" s="9" t="str">
        <x:v>否</x:v>
      </x:c>
      <x:c r="V70" s="9" t="str"/>
      <x:c r="W70" s="9" t="str">
        <x:v>LKM推理；待逐步审计</x:v>
      </x:c>
      <x:c r="X70" s="9" t="str">
        <x:v>factor subtype=noisy_and; premise_roles={"paper:867771291879342656::H4":"highlight","paper:867771291879342656::P2":"weak_point"}</x:v>
      </x:c>
    </x:row>
    <x:row r="71" ht="72" customHeight="1">
      <x:c r="A71" s="9" t="str">
        <x:v>OTWTA-ARG-C04-S01</x:v>
      </x:c>
      <x:c r="B71" s="9" t="str">
        <x:v>graph_reasoning_step</x:v>
      </x:c>
      <x:c r="C71" s="9" t="str">
        <x:v>lfac_745c4fd9e6ca523f::step_1</x:v>
      </x:c>
      <x:c r="D71" s="9" t="str">
        <x:v>lfac_745c4fd9e6ca523f</x:v>
      </x:c>
      <x:c r="E71" s="9" t="str">
        <x:v>OTWTA-C04</x:v>
      </x:c>
      <x:c r="F71" s="9" t="str">
        <x:v>将“同分布迁移”定义为把一个数据子集上发现的中奖彩票初始化迁移到从同一分布抽取的互不重叠子集。实验把 CIFAR-10 划分为 CIFAR-10a 和 CIFAR-10b，每个子集含 25,000 个训练样本、每类 2,500 张图像。</x:v>
      </x:c>
      <x:c r="G71" s="9" t="str">
        <x:v>Define "within-distribution transfer" as transferring a winning-ticket initialization from one subset of a dataset to a disjoint subset drawn from the same data distribution; in the experiments, CIFAR-10 was split into CIFAR-10a and CIFAR-10b, each containing $25{,}000$ training examples and $2{,}500$ images per class.</x:v>
      </x:c>
      <x:c r="H71" s="9" t="str">
        <x:v>将“同分布迁移”定义为把一个数据子集上发现的中奖彩票初始化迁移到从同一分布抽取的互不重叠子集。实验把 CIFAR-10 划分为 CIFAR-10a 和 CIFAR-10b，每个子集含 25,000 个训练样本、每类 2,500 张图像。</x:v>
      </x:c>
      <x:c r="I71" s="9" t="str">
        <x:v>前提</x:v>
      </x:c>
      <x:c r="J71" s="9" t="str">
        <x:v>LKM 推理步骤</x:v>
      </x:c>
      <x:c r="K71" s="9" t="str">
        <x:v>子网络前提/证据</x:v>
      </x:c>
      <x:c r="L71" s="9" t="str">
        <x:v>§4.1 同一数据分布内迁移</x:v>
      </x:c>
      <x:c r="M71" s="9" t="str">
        <x:v>Fig. 2</x:v>
      </x:c>
      <x:c r="N71" s="9" t="str">
        <x:v>L102-L111</x:v>
      </x:c>
      <x:c r="O71" s="9" t="str">
        <x:v>We then asked whether winning tickets generated using CIFAR-10a would produce increased performance on CIFAR-10b. ... For ResNet50 models ... both under-performed random tickets at low pruning fractions.</x:v>
      </x:c>
      <x:c r="P71" s="9" t="str">
        <x:v>随后我们询问，使用 CIFAR-10a 产生的彩票能否提高 CIFAR-10b 上的性能。对于 ResNet50，两类彩票在低剪枝比例下都不如随机彩票。</x:v>
      </x:c>
      <x:c r="Q71" s="9" t="str">
        <x:v>paper:867771291879342656::conclusion_4</x:v>
      </x:c>
      <x:c r="R71" s="9" t="str"/>
      <x:c r="S71" s="9" t="str">
        <x:v>01_paper_sample_one_ticket/lkm_coarse_reasoning_graph.json; paper_text_ocr_cleaned.md</x:v>
      </x:c>
      <x:c r="T71" s="9" t="str">
        <x:v>$.data.papers[0].graph.nodes[?(@.id=="lfac_745c4fd9e6ca523f")].steps[?(@.step_id=="1")]</x:v>
      </x:c>
      <x:c r="U71" s="9" t="str">
        <x:v>否</x:v>
      </x:c>
      <x:c r="V71" s="9" t="str"/>
      <x:c r="W71" s="9" t="str">
        <x:v>LKM推理；待逐步审计</x:v>
      </x:c>
      <x:c r="X71" s="9" t="str">
        <x:v>factor subtype=noisy_and; premise_roles={"paper:867771291879342656::H5":"highlight","paper:867771291879342656::P3":"weak_point"}</x:v>
      </x:c>
    </x:row>
    <x:row r="72" ht="72" customHeight="1">
      <x:c r="A72" s="9" t="str">
        <x:v>OTWTA-ARG-C04-S02</x:v>
      </x:c>
      <x:c r="B72" s="9" t="str">
        <x:v>graph_reasoning_step</x:v>
      </x:c>
      <x:c r="C72" s="9" t="str">
        <x:v>lfac_745c4fd9e6ca523f::step_2</x:v>
      </x:c>
      <x:c r="D72" s="9" t="str">
        <x:v>lfac_745c4fd9e6ca523f</x:v>
      </x:c>
      <x:c r="E72" s="9" t="str">
        <x:v>OTWTA-C04</x:v>
      </x:c>
      <x:c r="F72" s="9" t="str">
        <x:v>实验先在 CIFAR-10a 上通过迭代量级剪枝和延迟重置产生中奖彩票，再把保留的稀疏初始化迁移到互不重叠的 CIFAR-10b 上训练，并与随机彩票及直接在 CIFAR-10b 上发现的彩票比较。VGG19 和 ResNet50 的每条曲线均使用 6 个随机种子。</x:v>
      </x:c>
      <x:c r="G72" s="9" t="str">
        <x:v>Describe the experimental protocol for this within-distribution test: generate a winning ticket on CIFAR-10a by iterative magnitude pruning with late resetting, then evaluate that winning ticket by training the preserved sparse initialization on the disjoint subset CIFAR-10b and compare performance to a random ticket baseline and to a winning ticket generated directly on CIFAR-10b. Experiments were performed for both VGG19 and ResNet50 architectures with six random seeds per curve. 
Fig. 2</x:v>
      </x:c>
      <x:c r="H72" s="9" t="str">
        <x:v>实验先在 CIFAR-10a 上通过迭代量级剪枝和延迟重置产生中奖彩票，再把保留的稀疏初始化迁移到互不重叠的 CIFAR-10b 上训练，并与随机彩票及直接在 CIFAR-10b 上发现的彩票比较。VGG19 和 ResNet50 的每条曲线均使用 6 个随机种子。</x:v>
      </x:c>
      <x:c r="I72" s="9" t="str">
        <x:v>观察</x:v>
      </x:c>
      <x:c r="J72" s="9" t="str">
        <x:v>LKM 推理步骤</x:v>
      </x:c>
      <x:c r="K72" s="9" t="str">
        <x:v>子网络前提/证据</x:v>
      </x:c>
      <x:c r="L72" s="9" t="str">
        <x:v>§4.1 同一数据分布内迁移</x:v>
      </x:c>
      <x:c r="M72" s="9" t="str">
        <x:v>Fig. 2</x:v>
      </x:c>
      <x:c r="N72" s="9" t="str">
        <x:v>L102-L111</x:v>
      </x:c>
      <x:c r="O72" s="9" t="str">
        <x:v>We then asked whether winning tickets generated using CIFAR-10a would produce increased performance on CIFAR-10b. ... For ResNet50 models ... both under-performed random tickets at low pruning fractions.</x:v>
      </x:c>
      <x:c r="P72" s="9" t="str">
        <x:v>随后我们询问，使用 CIFAR-10a 产生的彩票能否提高 CIFAR-10b 上的性能。对于 ResNet50，两类彩票在低剪枝比例下都不如随机彩票。</x:v>
      </x:c>
      <x:c r="Q72" s="9" t="str">
        <x:v>paper:867771291879342656::conclusion_4</x:v>
      </x:c>
      <x:c r="R72" s="9" t="str"/>
      <x:c r="S72" s="9" t="str">
        <x:v>01_paper_sample_one_ticket/lkm_coarse_reasoning_graph.json; paper_text_ocr_cleaned.md</x:v>
      </x:c>
      <x:c r="T72" s="9" t="str">
        <x:v>$.data.papers[0].graph.nodes[?(@.id=="lfac_745c4fd9e6ca523f")].steps[?(@.step_id=="2")]</x:v>
      </x:c>
      <x:c r="U72" s="9" t="str">
        <x:v>否</x:v>
      </x:c>
      <x:c r="V72" s="9" t="str"/>
      <x:c r="W72" s="9" t="str">
        <x:v>LKM推理；待逐步审计</x:v>
      </x:c>
      <x:c r="X72" s="9" t="str">
        <x:v>factor subtype=noisy_and; premise_roles={"paper:867771291879342656::H5":"highlight","paper:867771291879342656::P3":"weak_point"}</x:v>
      </x:c>
    </x:row>
    <x:row r="73" ht="72" customHeight="1">
      <x:c r="A73" s="9" t="str">
        <x:v>OTWTA-ARG-C04-S03</x:v>
      </x:c>
      <x:c r="B73" s="9" t="str">
        <x:v>graph_reasoning_step</x:v>
      </x:c>
      <x:c r="C73" s="9" t="str">
        <x:v>lfac_745c4fd9e6ca523f::step_3</x:v>
      </x:c>
      <x:c r="D73" s="9" t="str">
        <x:v>lfac_745c4fd9e6ca523f</x:v>
      </x:c>
      <x:c r="E73" s="9" t="str">
        <x:v>OTWTA-C04</x:v>
      </x:c>
      <x:c r="F73" s="9" t="str">
        <x:v>CIFAR-10a 彩票在 VGG19 和 ResNet50 上都能较好迁移到 CIFAR-10b；相对于随机稀疏初始化，迁移彩票改善了留出子集上的训练。这说明彩票并非只记忆特定训练样本，而是捕获了有利于同分布其他样本的初始化结构。</x:v>
      </x:c>
      <x:c r="G73" s="9" t="str">
        <x:v>Report empirical observations: the CIFAR-10a winning ticket generalized well to CIFAR-10b for both VGG19 and ResNet50—transferred tickets improved training on the held-out subset relative to random sparse initializations—demonstrating that winning tickets are not simply memorizing specific training samples but capture initialization structure that benefits other samples from the same distribution. 
Fig. 2</x:v>
      </x:c>
      <x:c r="H73" s="9" t="str">
        <x:v>CIFAR-10a 彩票在 VGG19 和 ResNet50 上都能较好迁移到 CIFAR-10b；相对于随机稀疏初始化，迁移彩票改善了留出子集上的训练。这说明彩票并非只记忆特定训练样本，而是捕获了有利于同分布其他样本的初始化结构。</x:v>
      </x:c>
      <x:c r="I73" s="9" t="str">
        <x:v>观察</x:v>
      </x:c>
      <x:c r="J73" s="9" t="str">
        <x:v>LKM 推理步骤</x:v>
      </x:c>
      <x:c r="K73" s="9" t="str">
        <x:v>子网络前提/证据</x:v>
      </x:c>
      <x:c r="L73" s="9" t="str">
        <x:v>§4.1 同一数据分布内迁移</x:v>
      </x:c>
      <x:c r="M73" s="9" t="str">
        <x:v>Fig. 2</x:v>
      </x:c>
      <x:c r="N73" s="9" t="str">
        <x:v>L102-L111</x:v>
      </x:c>
      <x:c r="O73" s="9" t="str">
        <x:v>We then asked whether winning tickets generated using CIFAR-10a would produce increased performance on CIFAR-10b. ... For ResNet50 models ... both under-performed random tickets at low pruning fractions.</x:v>
      </x:c>
      <x:c r="P73" s="9" t="str">
        <x:v>随后我们询问，使用 CIFAR-10a 产生的彩票能否提高 CIFAR-10b 上的性能。对于 ResNet50，两类彩票在低剪枝比例下都不如随机彩票。</x:v>
      </x:c>
      <x:c r="Q73" s="9" t="str">
        <x:v>paper:867771291879342656::conclusion_4</x:v>
      </x:c>
      <x:c r="R73" s="9" t="str"/>
      <x:c r="S73" s="9" t="str">
        <x:v>01_paper_sample_one_ticket/lkm_coarse_reasoning_graph.json; paper_text_ocr_cleaned.md</x:v>
      </x:c>
      <x:c r="T73" s="9" t="str">
        <x:v>$.data.papers[0].graph.nodes[?(@.id=="lfac_745c4fd9e6ca523f")].steps[?(@.step_id=="3")]</x:v>
      </x:c>
      <x:c r="U73" s="9" t="str">
        <x:v>否</x:v>
      </x:c>
      <x:c r="V73" s="9" t="str"/>
      <x:c r="W73" s="9" t="str">
        <x:v>LKM推理；待逐步审计</x:v>
      </x:c>
      <x:c r="X73" s="9" t="str">
        <x:v>factor subtype=noisy_and; premise_roles={"paper:867771291879342656::H5":"highlight","paper:867771291879342656::P3":"weak_point"}</x:v>
      </x:c>
    </x:row>
    <x:row r="74" ht="72" customHeight="1">
      <x:c r="A74" s="9" t="str">
        <x:v>OTWTA-ARG-C04-S04</x:v>
      </x:c>
      <x:c r="B74" s="9" t="str">
        <x:v>graph_reasoning_step</x:v>
      </x:c>
      <x:c r="C74" s="9" t="str">
        <x:v>lfac_745c4fd9e6ca523f::step_4</x:v>
      </x:c>
      <x:c r="D74" s="9" t="str">
        <x:v>lfac_745c4fd9e6ca523f</x:v>
      </x:c>
      <x:c r="E74" s="9" t="str">
        <x:v>OTWTA-C04</x:v>
      </x:c>
      <x:c r="F74" s="9" t="str">
        <x:v>ResNet50 在低剪枝比例下表现出敏感性：少量权重被剪除时，迁移彩票偶尔不如随机彩票。这表明同分布迁移可能依赖架构和剪枝比例。</x:v>
      </x:c>
      <x:c r="G74" s="9" t="str">
        <x:v>Report the architecture-dependent caveat: ResNet50 showed sensitivity at low pruning fractions, occasionally under-performing random tickets when few weights are pruned, indicating that within-distribution transfer can be architecture- and pruning-fraction-dependent. This behavior is explicitly observed in the ResNet50 CIFAR-10a-to-10b transfer curves where transferred tickets under-perform random tickets at low pruning. 
Fig. 2</x:v>
      </x:c>
      <x:c r="H74" s="9" t="str">
        <x:v>ResNet50 在低剪枝比例下表现出敏感性：少量权重被剪除时，迁移彩票偶尔不如随机彩票。这表明同分布迁移可能依赖架构和剪枝比例。</x:v>
      </x:c>
      <x:c r="I74" s="9" t="str">
        <x:v>观察</x:v>
      </x:c>
      <x:c r="J74" s="9" t="str">
        <x:v>LKM 推理步骤</x:v>
      </x:c>
      <x:c r="K74" s="9" t="str">
        <x:v>推理中的限定/反例</x:v>
      </x:c>
      <x:c r="L74" s="9" t="str">
        <x:v>§4.1 同一数据分布内迁移</x:v>
      </x:c>
      <x:c r="M74" s="9" t="str">
        <x:v>Fig. 2</x:v>
      </x:c>
      <x:c r="N74" s="9" t="str">
        <x:v>L102-L111</x:v>
      </x:c>
      <x:c r="O74" s="9" t="str">
        <x:v>We then asked whether winning tickets generated using CIFAR-10a would produce increased performance on CIFAR-10b. ... For ResNet50 models ... both under-performed random tickets at low pruning fractions.</x:v>
      </x:c>
      <x:c r="P74" s="9" t="str">
        <x:v>随后我们询问，使用 CIFAR-10a 产生的彩票能否提高 CIFAR-10b 上的性能。对于 ResNet50，两类彩票在低剪枝比例下都不如随机彩票。</x:v>
      </x:c>
      <x:c r="Q74" s="9" t="str">
        <x:v>paper:867771291879342656::conclusion_4</x:v>
      </x:c>
      <x:c r="R74" s="9" t="str">
        <x:v>paper:867771291879342656::conclusion_4</x:v>
      </x:c>
      <x:c r="S74" s="9" t="str">
        <x:v>01_paper_sample_one_ticket/lkm_coarse_reasoning_graph.json; paper_text_ocr_cleaned.md</x:v>
      </x:c>
      <x:c r="T74" s="9" t="str">
        <x:v>$.data.papers[0].graph.nodes[?(@.id=="lfac_745c4fd9e6ca523f")].steps[?(@.step_id=="4")]</x:v>
      </x:c>
      <x:c r="U74" s="9" t="str">
        <x:v>否</x:v>
      </x:c>
      <x:c r="V74" s="9" t="str"/>
      <x:c r="W74" s="9" t="str">
        <x:v>LKM推理；待逐步审计</x:v>
      </x:c>
      <x:c r="X74" s="9" t="str">
        <x:v>factor subtype=noisy_and; premise_roles={"paper:867771291879342656::H5":"highlight","paper:867771291879342656::P3":"weak_point"}</x:v>
      </x:c>
    </x:row>
    <x:row r="75" ht="72" customHeight="1">
      <x:c r="A75" s="9" t="str">
        <x:v>OTWTA-ARG-C04-S05</x:v>
      </x:c>
      <x:c r="B75" s="9" t="str">
        <x:v>graph_reasoning_step</x:v>
      </x:c>
      <x:c r="C75" s="9" t="str">
        <x:v>lfac_745c4fd9e6ca523f::step_5</x:v>
      </x:c>
      <x:c r="D75" s="9" t="str">
        <x:v>lfac_745c4fd9e6ca523f</x:v>
      </x:c>
      <x:c r="E75" s="9" t="str">
        <x:v>OTWTA-C04</x:v>
      </x:c>
      <x:c r="F75" s="9" t="str">
        <x:v>因此，一个数据子集上发现的彩票可以迁移到同一分布下互不重叠的子集，并相对于随机稀疏初始化改善训练；该结果在 VGG19 和 ResNet50 上都成立，但 ResNet50 在低剪枝比例下较敏感。</x:v>
      </x:c>
      <x:c r="G75" s="9" t="str">
        <x:v>Conclude that a winning ticket discovered on one subset of a dataset transfers to a disjoint subset from the same data distribution and improves training on that held-out subset relative to random sparse initializations, with the within-distribution transfer holding for both VGG19 and ResNet50, though ResNet50 showed sensitivity at low pruning fractions.</x:v>
      </x:c>
      <x:c r="H75" s="9" t="str">
        <x:v>因此，一个数据子集上发现的彩票可以迁移到同一分布下互不重叠的子集，并相对于随机稀疏初始化改善训练；该结果在 VGG19 和 ResNet50 上都成立，但 ResNet50 在低剪枝比例下较敏感。</x:v>
      </x:c>
      <x:c r="I75" s="9" t="str">
        <x:v>结论</x:v>
      </x:c>
      <x:c r="J75" s="9" t="str">
        <x:v>LKM 推理步骤</x:v>
      </x:c>
      <x:c r="K75" s="9" t="str">
        <x:v>推理中的限定/反例</x:v>
      </x:c>
      <x:c r="L75" s="9" t="str">
        <x:v>§4.1 同一数据分布内迁移</x:v>
      </x:c>
      <x:c r="M75" s="9" t="str">
        <x:v>Fig. 2</x:v>
      </x:c>
      <x:c r="N75" s="9" t="str">
        <x:v>L102-L111</x:v>
      </x:c>
      <x:c r="O75" s="9" t="str">
        <x:v>We then asked whether winning tickets generated using CIFAR-10a would produce increased performance on CIFAR-10b. ... For ResNet50 models ... both under-performed random tickets at low pruning fractions.</x:v>
      </x:c>
      <x:c r="P75" s="9" t="str">
        <x:v>随后我们询问，使用 CIFAR-10a 产生的彩票能否提高 CIFAR-10b 上的性能。对于 ResNet50，两类彩票在低剪枝比例下都不如随机彩票。</x:v>
      </x:c>
      <x:c r="Q75" s="9" t="str">
        <x:v>paper:867771291879342656::conclusion_4</x:v>
      </x:c>
      <x:c r="R75" s="9" t="str">
        <x:v>paper:867771291879342656::conclusion_4</x:v>
      </x:c>
      <x:c r="S75" s="9" t="str">
        <x:v>01_paper_sample_one_ticket/lkm_coarse_reasoning_graph.json; paper_text_ocr_cleaned.md</x:v>
      </x:c>
      <x:c r="T75" s="9" t="str">
        <x:v>$.data.papers[0].graph.nodes[?(@.id=="lfac_745c4fd9e6ca523f")].steps[?(@.step_id=="5")]</x:v>
      </x:c>
      <x:c r="U75" s="9" t="str">
        <x:v>否</x:v>
      </x:c>
      <x:c r="V75" s="9" t="str"/>
      <x:c r="W75" s="9" t="str">
        <x:v>LKM推理；待逐步审计</x:v>
      </x:c>
      <x:c r="X75" s="9" t="str">
        <x:v>factor subtype=noisy_and; premise_roles={"paper:867771291879342656::H5":"highlight","paper:867771291879342656::P3":"weak_point"}</x:v>
      </x:c>
    </x:row>
    <x:row r="76" ht="72" customHeight="1">
      <x:c r="A76" s="9" t="str">
        <x:v>OTWTA-ARG-C05-S01</x:v>
      </x:c>
      <x:c r="B76" s="9" t="str">
        <x:v>graph_reasoning_step</x:v>
      </x:c>
      <x:c r="C76" s="9" t="str">
        <x:v>lfac_58096a5ebe94e02b::step_1</x:v>
      </x:c>
      <x:c r="D76" s="9" t="str">
        <x:v>lfac_58096a5ebe94e02b</x:v>
      </x:c>
      <x:c r="E76" s="9" t="str">
        <x:v>OTWTA-C05</x:v>
      </x:c>
      <x:c r="F76" s="9" t="str">
        <x:v>“逐层剪枝”指在每一层内独立删除相同比例的参数；“全局剪枝”指汇总所有层的权重，并在整个网络范围内删除量级最小的权重，因此各层最终稀疏度可以不同。</x:v>
      </x:c>
      <x:c r="G76" s="9" t="str">
        <x:v>Define "layerwise pruning" as pruning that removes the same fraction of parameters within each layer independently, and define "global pruning" as pooling all weights across layers and removing the smallest-magnitude weights across the entire network, allowing different layers to have different resulting sparsities.</x:v>
      </x:c>
      <x:c r="H76" s="9" t="str">
        <x:v>“逐层剪枝”指在每一层内独立删除相同比例的参数；“全局剪枝”指汇总所有层的权重，并在整个网络范围内删除量级最小的权重，因此各层最终稀疏度可以不同。</x:v>
      </x:c>
      <x:c r="I76" s="9" t="str">
        <x:v>前提</x:v>
      </x:c>
      <x:c r="J76" s="9" t="str">
        <x:v>LKM 推理步骤</x:v>
      </x:c>
      <x:c r="K76" s="9" t="str">
        <x:v>子网络前提/证据</x:v>
      </x:c>
      <x:c r="L76" s="9" t="str">
        <x:v>§3.1 彩票假说——全局剪枝</x:v>
      </x:c>
      <x:c r="M76" s="9" t="str">
        <x:v>Fig. 1</x:v>
      </x:c>
      <x:c r="N76" s="9" t="str">
        <x:v>L77-L80</x:v>
      </x:c>
      <x:c r="O76" s="9" t="str">
        <x:v>We observed that global pruning leads to higher performance than local pruning. ... Global magnitude pruning preferentially prunes weights in deeper layers, leaving the first layer in particular relatively unpruned.</x:v>
      </x:c>
      <x:c r="P76" s="9" t="str">
        <x:v>我们观察到，全局剪枝比逐层剪枝取得更高性能。全局量级剪枝倾向于更多剪除深层权重，而第一层尤其保留了较多参数。</x:v>
      </x:c>
      <x:c r="Q76" s="9" t="str">
        <x:v>paper:867771291879342656::conclusion_5</x:v>
      </x:c>
      <x:c r="R76" s="9" t="str"/>
      <x:c r="S76" s="9" t="str">
        <x:v>01_paper_sample_one_ticket/lkm_coarse_reasoning_graph.json; paper_text_ocr_cleaned.md</x:v>
      </x:c>
      <x:c r="T76" s="9" t="str">
        <x:v>$.data.papers[0].graph.nodes[?(@.id=="lfac_58096a5ebe94e02b")].steps[?(@.step_id=="1")]</x:v>
      </x:c>
      <x:c r="U76" s="9" t="str">
        <x:v>否</x:v>
      </x:c>
      <x:c r="V76" s="9" t="str"/>
      <x:c r="W76" s="9" t="str">
        <x:v>LKM推理；待逐步审计</x:v>
      </x:c>
      <x:c r="X76" s="9" t="str">
        <x:v>factor subtype=noisy_and; premise_roles={"paper:867771291879342656::H6":"highlight","paper:867771291879342656::P4":"weak_point"}</x:v>
      </x:c>
    </x:row>
    <x:row r="77" ht="72" customHeight="1">
      <x:c r="A77" s="9" t="str">
        <x:v>OTWTA-ARG-C05-S02</x:v>
      </x:c>
      <x:c r="B77" s="9" t="str">
        <x:v>graph_reasoning_step</x:v>
      </x:c>
      <x:c r="C77" s="9" t="str">
        <x:v>lfac_58096a5ebe94e02b::step_2</x:v>
      </x:c>
      <x:c r="D77" s="9" t="str">
        <x:v>lfac_58096a5ebe94e02b</x:v>
      </x:c>
      <x:c r="E77" s="9" t="str">
        <x:v>OTWTA-C05</x:v>
      </x:c>
      <x:c r="F77" s="9" t="str">
        <x:v>作者在 CIFAR-10 上的 VGG19 中比较全局量级剪枝和逐层剪枝所得彩票的性能，并以剪除权重比例为横轴绘制测试准确率，同时与随机彩票比较。在总体稀疏度相同时，全局剪枝得到的稀疏子网络性能更高。</x:v>
      </x:c>
      <x:c r="G77" s="9" t="str">
        <x:v>State the experimental comparison: the authors compared performance of winning tickets found using global magnitude pruning to those found using layerwise pruning on CIFAR-10 with VGG19, plotting test accuracy as a function of fraction of pruned weights and comparing against random-ticket baselines. The comparison shows that global pruning yields higher-performing sparse subnetworks than layerwise pruning at matched overall sparsity levels. 
Fig. 1</x:v>
      </x:c>
      <x:c r="H77" s="9" t="str">
        <x:v>作者在 CIFAR-10 上的 VGG19 中比较全局量级剪枝和逐层剪枝所得彩票的性能，并以剪除权重比例为横轴绘制测试准确率，同时与随机彩票比较。在总体稀疏度相同时，全局剪枝得到的稀疏子网络性能更高。</x:v>
      </x:c>
      <x:c r="I77" s="9" t="str">
        <x:v>观察</x:v>
      </x:c>
      <x:c r="J77" s="9" t="str">
        <x:v>LKM 推理步骤</x:v>
      </x:c>
      <x:c r="K77" s="9" t="str">
        <x:v>子网络前提/证据</x:v>
      </x:c>
      <x:c r="L77" s="9" t="str">
        <x:v>§3.1 彩票假说——全局剪枝</x:v>
      </x:c>
      <x:c r="M77" s="9" t="str">
        <x:v>Fig. 1</x:v>
      </x:c>
      <x:c r="N77" s="9" t="str">
        <x:v>L77-L80</x:v>
      </x:c>
      <x:c r="O77" s="9" t="str">
        <x:v>We observed that global pruning leads to higher performance than local pruning. ... Global magnitude pruning preferentially prunes weights in deeper layers, leaving the first layer in particular relatively unpruned.</x:v>
      </x:c>
      <x:c r="P77" s="9" t="str">
        <x:v>我们观察到，全局剪枝比逐层剪枝取得更高性能。全局量级剪枝倾向于更多剪除深层权重，而第一层尤其保留了较多参数。</x:v>
      </x:c>
      <x:c r="Q77" s="9" t="str">
        <x:v>paper:867771291879342656::conclusion_5</x:v>
      </x:c>
      <x:c r="R77" s="9" t="str"/>
      <x:c r="S77" s="9" t="str">
        <x:v>01_paper_sample_one_ticket/lkm_coarse_reasoning_graph.json; paper_text_ocr_cleaned.md</x:v>
      </x:c>
      <x:c r="T77" s="9" t="str">
        <x:v>$.data.papers[0].graph.nodes[?(@.id=="lfac_58096a5ebe94e02b")].steps[?(@.step_id=="2")]</x:v>
      </x:c>
      <x:c r="U77" s="9" t="str">
        <x:v>否</x:v>
      </x:c>
      <x:c r="V77" s="9" t="str"/>
      <x:c r="W77" s="9" t="str">
        <x:v>LKM推理；待逐步审计</x:v>
      </x:c>
      <x:c r="X77" s="9" t="str">
        <x:v>factor subtype=noisy_and; premise_roles={"paper:867771291879342656::H6":"highlight","paper:867771291879342656::P4":"weak_point"}</x:v>
      </x:c>
    </x:row>
    <x:row r="78" ht="72" customHeight="1">
      <x:c r="A78" s="9" t="str">
        <x:v>OTWTA-ARG-C05-S03</x:v>
      </x:c>
      <x:c r="B78" s="9" t="str">
        <x:v>graph_reasoning_step</x:v>
      </x:c>
      <x:c r="C78" s="9" t="str">
        <x:v>lfac_58096a5ebe94e02b::step_3</x:v>
      </x:c>
      <x:c r="D78" s="9" t="str">
        <x:v>lfac_58096a5ebe94e02b</x:v>
      </x:c>
      <x:c r="E78" s="9" t="str">
        <x:v>OTWTA-C05</x:v>
      </x:c>
      <x:c r="F78" s="9" t="str">
        <x:v>全局剪枝下逐层稀疏度并不均匀：深层卷积层被剪得更多，浅层、尤其第一卷积层保留了更高比例的参数。各卷积层的全局剪枝率与逐层剪枝率之比定量展示了这一模式。</x:v>
      </x:c>
      <x:c r="G78" s="9" t="str">
        <x:v>Report the observed non-uniformity of layerwise sparsity under global magnitude pruning: when applying global pruning schedules, deeper convolutional layers were pruned more heavily while early layers, notably the first convolutional layer, retained a much larger fraction of their parameters. This pattern is shown quantitatively by plotting, per convolutional layer, the ratio of global pruning rate to layerwise pruning rate at multiple pruning iterations, which indicates higher relative pruning in deeper layers and relative preservation of early layers. 
Fig. 1</x:v>
      </x:c>
      <x:c r="H78" s="9" t="str">
        <x:v>全局剪枝下逐层稀疏度并不均匀：深层卷积层被剪得更多，浅层、尤其第一卷积层保留了更高比例的参数。各卷积层的全局剪枝率与逐层剪枝率之比定量展示了这一模式。</x:v>
      </x:c>
      <x:c r="I78" s="9" t="str">
        <x:v>观察</x:v>
      </x:c>
      <x:c r="J78" s="9" t="str">
        <x:v>LKM 推理步骤</x:v>
      </x:c>
      <x:c r="K78" s="9" t="str">
        <x:v>子网络前提/证据</x:v>
      </x:c>
      <x:c r="L78" s="9" t="str">
        <x:v>§3.1 彩票假说——全局剪枝</x:v>
      </x:c>
      <x:c r="M78" s="9" t="str">
        <x:v>Fig. 1</x:v>
      </x:c>
      <x:c r="N78" s="9" t="str">
        <x:v>L77-L80</x:v>
      </x:c>
      <x:c r="O78" s="9" t="str">
        <x:v>We observed that global pruning leads to higher performance than local pruning. ... Global magnitude pruning preferentially prunes weights in deeper layers, leaving the first layer in particular relatively unpruned.</x:v>
      </x:c>
      <x:c r="P78" s="9" t="str">
        <x:v>我们观察到，全局剪枝比逐层剪枝取得更高性能。全局量级剪枝倾向于更多剪除深层权重，而第一层尤其保留了较多参数。</x:v>
      </x:c>
      <x:c r="Q78" s="9" t="str">
        <x:v>paper:867771291879342656::conclusion_5</x:v>
      </x:c>
      <x:c r="R78" s="9" t="str"/>
      <x:c r="S78" s="9" t="str">
        <x:v>01_paper_sample_one_ticket/lkm_coarse_reasoning_graph.json; paper_text_ocr_cleaned.md</x:v>
      </x:c>
      <x:c r="T78" s="9" t="str">
        <x:v>$.data.papers[0].graph.nodes[?(@.id=="lfac_58096a5ebe94e02b")].steps[?(@.step_id=="3")]</x:v>
      </x:c>
      <x:c r="U78" s="9" t="str">
        <x:v>否</x:v>
      </x:c>
      <x:c r="V78" s="9" t="str"/>
      <x:c r="W78" s="9" t="str">
        <x:v>LKM推理；待逐步审计</x:v>
      </x:c>
      <x:c r="X78" s="9" t="str">
        <x:v>factor subtype=noisy_and; premise_roles={"paper:867771291879342656::H6":"highlight","paper:867771291879342656::P4":"weak_point"}</x:v>
      </x:c>
    </x:row>
    <x:row r="79" ht="72" customHeight="1">
      <x:c r="A79" s="9" t="str">
        <x:v>OTWTA-ARG-C05-S04</x:v>
      </x:c>
      <x:c r="B79" s="9" t="str">
        <x:v>graph_reasoning_step</x:v>
      </x:c>
      <x:c r="C79" s="9" t="str">
        <x:v>lfac_58096a5ebe94e02b::step_4</x:v>
      </x:c>
      <x:c r="D79" s="9" t="str">
        <x:v>lfac_58096a5ebe94e02b</x:v>
      </x:c>
      <x:c r="E79" s="9" t="str">
        <x:v>OTWTA-C05</x:v>
      </x:c>
      <x:c r="F79" s="9" t="str">
        <x:v>作者给出的直观解释是：深层通常比浅层拥有更多参数，逐层使用固定剪枝率会过度损害绝对参数量很少的浅层。例如 VGG19 第一层有 1,792 个参数，若剪除 99%，只剩 18 个参数，表达能力将严重受损；全局剪枝会在参数多处多剪、参数少处少剪。</x:v>
      </x:c>
      <x:c r="G79" s="9" t="str">
        <x:v>Provide the intuitive justification and concrete numerical example offered by the authors: because deeper layers often contain many more parameters than early layers, applying a constant pruning rate per layer (layerwise) would disproportionately harm early layers that have few absolute parameters; for instance, the first layer of VGG19 contains $1792$ parameters, so pruning that layer at a $99\%$ rate would leave only $18$ parameters, severely reducing expressivity; global pruning avoids this by pruning relatively more where parameter counts are large and relatively less where parameter counts are small.</x:v>
      </x:c>
      <x:c r="H79" s="9" t="str">
        <x:v>作者给出的直观解释是：深层通常比浅层拥有更多参数，逐层使用固定剪枝率会过度损害绝对参数量很少的浅层。例如 VGG19 第一层有 1,792 个参数，若剪除 99%，只剩 18 个参数，表达能力将严重受损；全局剪枝会在参数多处多剪、参数少处少剪。</x:v>
      </x:c>
      <x:c r="I79" s="9" t="str">
        <x:v>假说</x:v>
      </x:c>
      <x:c r="J79" s="9" t="str">
        <x:v>LKM 推理步骤</x:v>
      </x:c>
      <x:c r="K79" s="9" t="str">
        <x:v>子网络前提/证据</x:v>
      </x:c>
      <x:c r="L79" s="9" t="str">
        <x:v>§3.1 彩票假说——全局剪枝</x:v>
      </x:c>
      <x:c r="M79" s="9" t="str">
        <x:v>Fig. 1</x:v>
      </x:c>
      <x:c r="N79" s="9" t="str">
        <x:v>L77-L80</x:v>
      </x:c>
      <x:c r="O79" s="9" t="str">
        <x:v>We observed that global pruning leads to higher performance than local pruning. ... Global magnitude pruning preferentially prunes weights in deeper layers, leaving the first layer in particular relatively unpruned.</x:v>
      </x:c>
      <x:c r="P79" s="9" t="str">
        <x:v>我们观察到，全局剪枝比逐层剪枝取得更高性能。全局量级剪枝倾向于更多剪除深层权重，而第一层尤其保留了较多参数。</x:v>
      </x:c>
      <x:c r="Q79" s="9" t="str">
        <x:v>paper:867771291879342656::conclusion_5</x:v>
      </x:c>
      <x:c r="R79" s="9" t="str"/>
      <x:c r="S79" s="9" t="str">
        <x:v>01_paper_sample_one_ticket/lkm_coarse_reasoning_graph.json; paper_text_ocr_cleaned.md</x:v>
      </x:c>
      <x:c r="T79" s="9" t="str">
        <x:v>$.data.papers[0].graph.nodes[?(@.id=="lfac_58096a5ebe94e02b")].steps[?(@.step_id=="4")]</x:v>
      </x:c>
      <x:c r="U79" s="9" t="str">
        <x:v>否</x:v>
      </x:c>
      <x:c r="V79" s="9" t="str"/>
      <x:c r="W79" s="9" t="str">
        <x:v>LKM推理；待逐步审计</x:v>
      </x:c>
      <x:c r="X79" s="9" t="str">
        <x:v>factor subtype=noisy_and; premise_roles={"paper:867771291879342656::H6":"highlight","paper:867771291879342656::P4":"weak_point"}</x:v>
      </x:c>
    </x:row>
    <x:row r="80" ht="72" customHeight="1">
      <x:c r="A80" s="9" t="str">
        <x:v>OTWTA-ARG-C05-S05</x:v>
      </x:c>
      <x:c r="B80" s="9" t="str">
        <x:v>graph_reasoning_step</x:v>
      </x:c>
      <x:c r="C80" s="9" t="str">
        <x:v>lfac_58096a5ebe94e02b::step_5</x:v>
      </x:c>
      <x:c r="D80" s="9" t="str">
        <x:v>lfac_58096a5ebe94e02b</x:v>
      </x:c>
      <x:c r="E80" s="9" t="str">
        <x:v>OTWTA-C05</x:v>
      </x:c>
      <x:c r="F80" s="9" t="str">
        <x:v>根据性能比较和逐层剪枝统计，全局量级剪枝比逐层剪枝更能产生高性能中奖彩票，并形成非均匀逐层稀疏模式：深层剪得更多，浅层、尤其第一卷积层保留更多参数。</x:v>
      </x:c>
      <x:c r="G80" s="9" t="str">
        <x:v>Conclude from the empirical comparison and layerwise-pruning statistics that global magnitude pruning outperforms layerwise pruning in producing higher-performing winning tickets, and that global pruning induces non-uniform layerwise sparsity with deeper layers pruned more and early layers, especially the first convolutional layer, retaining a larger fraction of parameters. 
Fig. 1</x:v>
      </x:c>
      <x:c r="H80" s="9" t="str">
        <x:v>根据性能比较和逐层剪枝统计，全局量级剪枝比逐层剪枝更能产生高性能中奖彩票，并形成非均匀逐层稀疏模式：深层剪得更多，浅层、尤其第一卷积层保留更多参数。</x:v>
      </x:c>
      <x:c r="I80" s="9" t="str">
        <x:v>结论</x:v>
      </x:c>
      <x:c r="J80" s="9" t="str">
        <x:v>LKM 推理步骤</x:v>
      </x:c>
      <x:c r="K80" s="9" t="str">
        <x:v>子网络推出步骤</x:v>
      </x:c>
      <x:c r="L80" s="9" t="str">
        <x:v>§3.1 彩票假说——全局剪枝</x:v>
      </x:c>
      <x:c r="M80" s="9" t="str">
        <x:v>Fig. 1</x:v>
      </x:c>
      <x:c r="N80" s="9" t="str">
        <x:v>L77-L80</x:v>
      </x:c>
      <x:c r="O80" s="9" t="str">
        <x:v>We observed that global pruning leads to higher performance than local pruning. ... Global magnitude pruning preferentially prunes weights in deeper layers, leaving the first layer in particular relatively unpruned.</x:v>
      </x:c>
      <x:c r="P80" s="9" t="str">
        <x:v>我们观察到，全局剪枝比逐层剪枝取得更高性能。全局量级剪枝倾向于更多剪除深层权重，而第一层尤其保留了较多参数。</x:v>
      </x:c>
      <x:c r="Q80" s="9" t="str">
        <x:v>paper:867771291879342656::conclusion_5</x:v>
      </x:c>
      <x:c r="R80" s="9" t="str"/>
      <x:c r="S80" s="9" t="str">
        <x:v>01_paper_sample_one_ticket/lkm_coarse_reasoning_graph.json; paper_text_ocr_cleaned.md</x:v>
      </x:c>
      <x:c r="T80" s="9" t="str">
        <x:v>$.data.papers[0].graph.nodes[?(@.id=="lfac_58096a5ebe94e02b")].steps[?(@.step_id=="5")]</x:v>
      </x:c>
      <x:c r="U80" s="9" t="str">
        <x:v>否</x:v>
      </x:c>
      <x:c r="V80" s="9" t="str"/>
      <x:c r="W80" s="9" t="str">
        <x:v>LKM推理；待逐步审计</x:v>
      </x:c>
      <x:c r="X80" s="9" t="str">
        <x:v>factor subtype=noisy_and; premise_roles={"paper:867771291879342656::H6":"highlight","paper:867771291879342656::P4":"weak_point"}</x:v>
      </x:c>
    </x:row>
    <x:row r="81" ht="72" customHeight="1">
      <x:c r="A81" s="9" t="str">
        <x:v>OTWTA-ARG-C06-S01</x:v>
      </x:c>
      <x:c r="B81" s="9" t="str">
        <x:v>graph_reasoning_step</x:v>
      </x:c>
      <x:c r="C81" s="9" t="str">
        <x:v>lfac_c6ff5645cff61bd7::step_1</x:v>
      </x:c>
      <x:c r="D81" s="9" t="str">
        <x:v>lfac_c6ff5645cff61bd7</x:v>
      </x:c>
      <x:c r="E81" s="9" t="str">
        <x:v>OTWTA-C06</x:v>
      </x:c>
      <x:c r="F81" s="9" t="str">
        <x:v>将剪枝掩码定义为模型参数上的二值指示器：1 表示保留权重，0 表示删除权重。实验区分三种条件：保留掩码，即原样使用彩票发现得到的掩码；层内置换掩码，即在每层内部随机置换，保留逐层稀疏统计但打乱层内结构；全局置换掩码，即跨所有层随机置换，既不保留逐层统计，也不保留层内结构。</x:v>
      </x:c>
      <x:c r="G81" s="9" t="str">
        <x:v>Define the "pruning mask" (or "mask") as the binary indicator over model parameters where a value of $1$ indicates a preserved (unpruned) weight and $0$ indicates a removed (pruned) weight; distinguish three mask conditions used in experiments: (a) "preserved mask" meaning the exact mask found by the winning-ticket discovery process is used unchanged for the random ticket, (b) "locally permuted mask" meaning the mask is randomly permuted within each layer (so layerwise sparsity statistics are preserved but intra-layer structure is randomized), and (c) "globally permuted mask" meaning the mask is randomly permuted across all layers (so neither layerwise statistics nor intra-layer structure is preserved).</x:v>
      </x:c>
      <x:c r="H81" s="9" t="str">
        <x:v>将剪枝掩码定义为模型参数上的二值指示器：1 表示保留权重，0 表示删除权重。实验区分三种条件：保留掩码，即原样使用彩票发现得到的掩码；层内置换掩码，即在每层内部随机置换，保留逐层稀疏统计但打乱层内结构；全局置换掩码，即跨所有层随机置换，既不保留逐层统计，也不保留层内结构。</x:v>
      </x:c>
      <x:c r="I81" s="9" t="str">
        <x:v>前提</x:v>
      </x:c>
      <x:c r="J81" s="9" t="str">
        <x:v>LKM 推理步骤</x:v>
      </x:c>
      <x:c r="K81" s="9" t="str">
        <x:v>子网络前提/证据</x:v>
      </x:c>
      <x:c r="L81" s="9" t="str">
        <x:v>§3.1 随机掩码; Appendix A.2 随机化掩码</x:v>
      </x:c>
      <x:c r="M81" s="9" t="str">
        <x:v>Fig. A1（并参照 Fig. 1）</x:v>
      </x:c>
      <x:c r="N81" s="9" t="str">
        <x:v>L83; L242-L261（核心：L258-L261）</x:v>
      </x:c>
      <x:c r="O81" s="9" t="str">
        <x:v>While locally permuting masks damaged performance somewhat, globally permuting the mask results in dramatically worse performance, suggesting that the layerwise statistics derived from training the over-parameterized model are very informative.</x:v>
      </x:c>
      <x:c r="P81" s="9" t="str">
        <x:v>层内置换掩码会在一定程度上损害性能，而全局置换掩码会使性能显著恶化，这表明从过参数化模型训练中得到的逐层统计包含大量信息。</x:v>
      </x:c>
      <x:c r="Q81" s="9" t="str">
        <x:v>paper:867771291879342656::conclusion_6</x:v>
      </x:c>
      <x:c r="R81" s="9" t="str"/>
      <x:c r="S81" s="9" t="str">
        <x:v>01_paper_sample_one_ticket/lkm_coarse_reasoning_graph.json; paper_text_ocr_cleaned.md</x:v>
      </x:c>
      <x:c r="T81" s="9" t="str">
        <x:v>$.data.papers[0].graph.nodes[?(@.id=="lfac_c6ff5645cff61bd7")].steps[?(@.step_id=="1")]</x:v>
      </x:c>
      <x:c r="U81" s="9" t="str">
        <x:v>否</x:v>
      </x:c>
      <x:c r="V81" s="9" t="str"/>
      <x:c r="W81" s="9" t="str">
        <x:v>LKM推理；待逐步审计</x:v>
      </x:c>
      <x:c r="X81" s="9" t="str">
        <x:v>factor subtype=noisy_and; premise_roles={"paper:867771291879342656::H7":"highlight","paper:867771291879342656::P5":"weak_point"}</x:v>
      </x:c>
    </x:row>
    <x:row r="82" ht="72" customHeight="1">
      <x:c r="A82" s="9" t="str">
        <x:v>OTWTA-ARG-C06-S02</x:v>
      </x:c>
      <x:c r="B82" s="9" t="str">
        <x:v>graph_reasoning_step</x:v>
      </x:c>
      <x:c r="C82" s="9" t="str">
        <x:v>lfac_c6ff5645cff61bd7::step_2</x:v>
      </x:c>
      <x:c r="D82" s="9" t="str">
        <x:v>lfac_c6ff5645cff61bd7</x:v>
      </x:c>
      <x:c r="E82" s="9" t="str">
        <x:v>OTWTA-C06</x:v>
      </x:c>
      <x:c r="F82" s="9" t="str">
        <x:v>在 CIFAR-10 上，作者比较保留掩码的彩票、使用层内置换掩码的随机彩票和使用全局置换掩码的随机彩票，并保持初始化的其他方面一致；性能在多个剪枝比例下测量，每条曲线使用 6 个随机种子。</x:v>
      </x:c>
      <x:c r="G82" s="9" t="str">
        <x:v>Describe the experiment comparing these mask types: on CIFAR-10 the authors evaluated performance of a winning ticket (preserved mask), a random-ticket using locally permuted masks, and a random-ticket using globally permuted masks, holding other aspects of initialization constant; performance was measured across pruning fractions with six random seeds per curve. 
Fig. A1</x:v>
      </x:c>
      <x:c r="H82" s="9" t="str">
        <x:v>在 CIFAR-10 上，作者比较保留掩码的彩票、使用层内置换掩码的随机彩票和使用全局置换掩码的随机彩票，并保持初始化的其他方面一致；性能在多个剪枝比例下测量，每条曲线使用 6 个随机种子。</x:v>
      </x:c>
      <x:c r="I82" s="9" t="str">
        <x:v>观察</x:v>
      </x:c>
      <x:c r="J82" s="9" t="str">
        <x:v>LKM 推理步骤</x:v>
      </x:c>
      <x:c r="K82" s="9" t="str">
        <x:v>子网络前提/证据</x:v>
      </x:c>
      <x:c r="L82" s="9" t="str">
        <x:v>§3.1 随机掩码; Appendix A.2 随机化掩码</x:v>
      </x:c>
      <x:c r="M82" s="9" t="str">
        <x:v>Fig. A1</x:v>
      </x:c>
      <x:c r="N82" s="9" t="str">
        <x:v>L83; L242-L261（核心：L258-L261）</x:v>
      </x:c>
      <x:c r="O82" s="9" t="str">
        <x:v>While locally permuting masks damaged performance somewhat, globally permuting the mask results in dramatically worse performance, suggesting that the layerwise statistics derived from training the over-parameterized model are very informative.</x:v>
      </x:c>
      <x:c r="P82" s="9" t="str">
        <x:v>层内置换掩码会在一定程度上损害性能，而全局置换掩码会使性能显著恶化，这表明从过参数化模型训练中得到的逐层统计包含大量信息。</x:v>
      </x:c>
      <x:c r="Q82" s="9" t="str">
        <x:v>paper:867771291879342656::conclusion_6</x:v>
      </x:c>
      <x:c r="R82" s="9" t="str"/>
      <x:c r="S82" s="9" t="str">
        <x:v>01_paper_sample_one_ticket/lkm_coarse_reasoning_graph.json; paper_text_ocr_cleaned.md</x:v>
      </x:c>
      <x:c r="T82" s="9" t="str">
        <x:v>$.data.papers[0].graph.nodes[?(@.id=="lfac_c6ff5645cff61bd7")].steps[?(@.step_id=="2")]</x:v>
      </x:c>
      <x:c r="U82" s="9" t="str">
        <x:v>否</x:v>
      </x:c>
      <x:c r="V82" s="9" t="str"/>
      <x:c r="W82" s="9" t="str">
        <x:v>LKM推理；待逐步审计</x:v>
      </x:c>
      <x:c r="X82" s="9" t="str">
        <x:v>factor subtype=noisy_and; premise_roles={"paper:867771291879342656::H7":"highlight","paper:867771291879342656::P5":"weak_point"}</x:v>
      </x:c>
    </x:row>
    <x:row r="83" ht="72" customHeight="1">
      <x:c r="A83" s="9" t="str">
        <x:v>OTWTA-ARG-C06-S03</x:v>
      </x:c>
      <x:c r="B83" s="9" t="str">
        <x:v>graph_reasoning_step</x:v>
      </x:c>
      <x:c r="C83" s="9" t="str">
        <x:v>lfac_c6ff5645cff61bd7::step_3</x:v>
      </x:c>
      <x:c r="D83" s="9" t="str">
        <x:v>lfac_c6ff5645cff61bd7</x:v>
      </x:c>
      <x:c r="E83" s="9" t="str">
        <x:v>OTWTA-C06</x:v>
      </x:c>
      <x:c r="F83" s="9" t="str">
        <x:v>掩码比较实验发现：中奖彩票优于所有随机彩票；层内置换相对保留掩码造成一定性能损失，而全局置换相对保留掩码和层内置换掩码都造成显著更差的性能。这说明逐层掩码统计与跨层掩码结构都携带剪枝过程中发现的有信息归纳偏置。</x:v>
      </x:c>
      <x:c r="G83" s="9" t="str">
        <x:v>Report empirical findings from the mask-comparison experiment: the winning ticket outperformed all random tickets; locally permuting masks damaged performance somewhat relative to the preserved mask, whereas globally permuting the mask resulted in dramatically worse performance relative to both the preserved and locally permuted masks. These results indicate that layerwise mask statistics and cross-layer mask structure both carry informative inductive bias discovered during pruning. 
Fig. A1</x:v>
      </x:c>
      <x:c r="H83" s="9" t="str">
        <x:v>掩码比较实验发现：中奖彩票优于所有随机彩票；层内置换相对保留掩码造成一定性能损失，而全局置换相对保留掩码和层内置换掩码都造成显著更差的性能。这说明逐层掩码统计与跨层掩码结构都携带剪枝过程中发现的有信息归纳偏置。</x:v>
      </x:c>
      <x:c r="I83" s="9" t="str">
        <x:v>观察</x:v>
      </x:c>
      <x:c r="J83" s="9" t="str">
        <x:v>LKM 推理步骤</x:v>
      </x:c>
      <x:c r="K83" s="9" t="str">
        <x:v>子网络前提/证据</x:v>
      </x:c>
      <x:c r="L83" s="9" t="str">
        <x:v>§3.1 随机掩码; Appendix A.2 随机化掩码</x:v>
      </x:c>
      <x:c r="M83" s="9" t="str">
        <x:v>Fig. A1</x:v>
      </x:c>
      <x:c r="N83" s="9" t="str">
        <x:v>L83; L242-L261（核心：L258-L261）</x:v>
      </x:c>
      <x:c r="O83" s="9" t="str">
        <x:v>While locally permuting masks damaged performance somewhat, globally permuting the mask results in dramatically worse performance, suggesting that the layerwise statistics derived from training the over-parameterized model are very informative.</x:v>
      </x:c>
      <x:c r="P83" s="9" t="str">
        <x:v>层内置换掩码会在一定程度上损害性能，而全局置换掩码会使性能显著恶化，这表明从过参数化模型训练中得到的逐层统计包含大量信息。</x:v>
      </x:c>
      <x:c r="Q83" s="9" t="str">
        <x:v>paper:867771291879342656::conclusion_6</x:v>
      </x:c>
      <x:c r="R83" s="9" t="str"/>
      <x:c r="S83" s="9" t="str">
        <x:v>01_paper_sample_one_ticket/lkm_coarse_reasoning_graph.json; paper_text_ocr_cleaned.md</x:v>
      </x:c>
      <x:c r="T83" s="9" t="str">
        <x:v>$.data.papers[0].graph.nodes[?(@.id=="lfac_c6ff5645cff61bd7")].steps[?(@.step_id=="3")]</x:v>
      </x:c>
      <x:c r="U83" s="9" t="str">
        <x:v>否</x:v>
      </x:c>
      <x:c r="V83" s="9" t="str"/>
      <x:c r="W83" s="9" t="str">
        <x:v>LKM推理；待逐步审计</x:v>
      </x:c>
      <x:c r="X83" s="9" t="str">
        <x:v>factor subtype=noisy_and; premise_roles={"paper:867771291879342656::H7":"highlight","paper:867771291879342656::P5":"weak_point"}</x:v>
      </x:c>
    </x:row>
    <x:row r="84" ht="72" customHeight="1">
      <x:c r="A84" s="9" t="str">
        <x:v>OTWTA-ARG-C06-S04</x:v>
      </x:c>
      <x:c r="B84" s="9" t="str">
        <x:v>graph_reasoning_step</x:v>
      </x:c>
      <x:c r="C84" s="9" t="str">
        <x:v>lfac_c6ff5645cff61bd7::step_4</x:v>
      </x:c>
      <x:c r="D84" s="9" t="str">
        <x:v>lfac_c6ff5645cff61bd7</x:v>
      </x:c>
      <x:c r="E84" s="9" t="str">
        <x:v>OTWTA-C06</x:v>
      </x:c>
      <x:c r="F84" s="9" t="str">
        <x:v>作者据此提出方法学含义：在随机彩票基线中保留逐层掩码结构，会把中奖彩票的信息带入基线。因此，公平的随机彩票应同时随机化权重值和掩码结构，即进行全局掩码置换，避免无意保留已发现彩票的逐层统计或跨层结构信息。</x:v>
      </x:c>
      <x:c r="G84" s="9" t="str">
        <x:v>State the methodological implication drawn by the authors: because preserving the layerwise mask structure transfers information from the winning ticket to the random-ticket baseline, a fair "random ticket" baseline should randomize both weight values and mask structure (i.e., perform a global permutation of the mask) so that no layerwise statistics or cross-layer mask information is inadvertently preserved from the discovered winning ticket. This recommendation is based on the observed large performance gap when masks are globally permuted versus preserved. 
Fig. A1</x:v>
      </x:c>
      <x:c r="H84" s="9" t="str">
        <x:v>作者据此提出方法学含义：在随机彩票基线中保留逐层掩码结构，会把中奖彩票的信息带入基线。因此，公平的随机彩票应同时随机化权重值和掩码结构，即进行全局掩码置换，避免无意保留已发现彩票的逐层统计或跨层结构信息。</x:v>
      </x:c>
      <x:c r="I84" s="9" t="str">
        <x:v>观察</x:v>
      </x:c>
      <x:c r="J84" s="9" t="str">
        <x:v>LKM 推理步骤</x:v>
      </x:c>
      <x:c r="K84" s="9" t="str">
        <x:v>子网络前提/证据</x:v>
      </x:c>
      <x:c r="L84" s="9" t="str">
        <x:v>§3.1 随机掩码; Appendix A.2 随机化掩码</x:v>
      </x:c>
      <x:c r="M84" s="9" t="str">
        <x:v>Fig. A1</x:v>
      </x:c>
      <x:c r="N84" s="9" t="str">
        <x:v>L83; L242-L261（核心：L258-L261）</x:v>
      </x:c>
      <x:c r="O84" s="9" t="str">
        <x:v>While locally permuting masks damaged performance somewhat, globally permuting the mask results in dramatically worse performance, suggesting that the layerwise statistics derived from training the over-parameterized model are very informative.</x:v>
      </x:c>
      <x:c r="P84" s="9" t="str">
        <x:v>层内置换掩码会在一定程度上损害性能，而全局置换掩码会使性能显著恶化，这表明从过参数化模型训练中得到的逐层统计包含大量信息。</x:v>
      </x:c>
      <x:c r="Q84" s="9" t="str">
        <x:v>paper:867771291879342656::conclusion_6</x:v>
      </x:c>
      <x:c r="R84" s="9" t="str"/>
      <x:c r="S84" s="9" t="str">
        <x:v>01_paper_sample_one_ticket/lkm_coarse_reasoning_graph.json; paper_text_ocr_cleaned.md</x:v>
      </x:c>
      <x:c r="T84" s="9" t="str">
        <x:v>$.data.papers[0].graph.nodes[?(@.id=="lfac_c6ff5645cff61bd7")].steps[?(@.step_id=="4")]</x:v>
      </x:c>
      <x:c r="U84" s="9" t="str">
        <x:v>否</x:v>
      </x:c>
      <x:c r="V84" s="9" t="str"/>
      <x:c r="W84" s="9" t="str">
        <x:v>LKM推理；待逐步审计</x:v>
      </x:c>
      <x:c r="X84" s="9" t="str">
        <x:v>factor subtype=noisy_and; premise_roles={"paper:867771291879342656::H7":"highlight","paper:867771291879342656::P5":"weak_point"}</x:v>
      </x:c>
    </x:row>
    <x:row r="85" ht="72" customHeight="1">
      <x:c r="A85" s="9" t="str">
        <x:v>OTWTA-ARG-C06-S05</x:v>
      </x:c>
      <x:c r="B85" s="9" t="str">
        <x:v>graph_reasoning_step</x:v>
      </x:c>
      <x:c r="C85" s="9" t="str">
        <x:v>lfac_c6ff5645cff61bd7::step_5</x:v>
      </x:c>
      <x:c r="D85" s="9" t="str">
        <x:v>lfac_c6ff5645cff61bd7</x:v>
      </x:c>
      <x:c r="E85" s="9" t="str">
        <x:v>OTWTA-C06</x:v>
      </x:c>
      <x:c r="F85" s="9" t="str">
        <x:v>因此，剪枝掩码结构包含对训练稀疏网络有用的重要信息；公平的随机基线必须随机化掩码结构。层内置换使性能中度下降，而全局置换使性能显著下降。</x:v>
      </x:c>
      <x:c r="G85" s="9" t="str">
        <x:v>Conclude that the structure of the pruning mask contains substantial information useful for training sparse networks and that fair random baselines must randomize mask structure (global permutation), because locally permuting a mask degrades performance moderately while globally permuting the mask degrades performance dramatically.</x:v>
      </x:c>
      <x:c r="H85" s="9" t="str">
        <x:v>因此，剪枝掩码结构包含对训练稀疏网络有用的重要信息；公平的随机基线必须随机化掩码结构。层内置换使性能中度下降，而全局置换使性能显著下降。</x:v>
      </x:c>
      <x:c r="I85" s="9" t="str">
        <x:v>结论</x:v>
      </x:c>
      <x:c r="J85" s="9" t="str">
        <x:v>LKM 推理步骤</x:v>
      </x:c>
      <x:c r="K85" s="9" t="str">
        <x:v>子网络推出步骤</x:v>
      </x:c>
      <x:c r="L85" s="9" t="str">
        <x:v>§3.1 随机掩码; Appendix A.2 随机化掩码</x:v>
      </x:c>
      <x:c r="M85" s="9" t="str">
        <x:v>Fig. A1（并参照 Fig. 1）</x:v>
      </x:c>
      <x:c r="N85" s="9" t="str">
        <x:v>L83; L242-L261（核心：L258-L261）</x:v>
      </x:c>
      <x:c r="O85" s="9" t="str">
        <x:v>While locally permuting masks damaged performance somewhat, globally permuting the mask results in dramatically worse performance, suggesting that the layerwise statistics derived from training the over-parameterized model are very informative.</x:v>
      </x:c>
      <x:c r="P85" s="9" t="str">
        <x:v>层内置换掩码会在一定程度上损害性能，而全局置换掩码会使性能显著恶化，这表明从过参数化模型训练中得到的逐层统计包含大量信息。</x:v>
      </x:c>
      <x:c r="Q85" s="9" t="str">
        <x:v>paper:867771291879342656::conclusion_6</x:v>
      </x:c>
      <x:c r="R85" s="9" t="str"/>
      <x:c r="S85" s="9" t="str">
        <x:v>01_paper_sample_one_ticket/lkm_coarse_reasoning_graph.json; paper_text_ocr_cleaned.md</x:v>
      </x:c>
      <x:c r="T85" s="9" t="str">
        <x:v>$.data.papers[0].graph.nodes[?(@.id=="lfac_c6ff5645cff61bd7")].steps[?(@.step_id=="5")]</x:v>
      </x:c>
      <x:c r="U85" s="9" t="str">
        <x:v>否</x:v>
      </x:c>
      <x:c r="V85" s="9" t="str"/>
      <x:c r="W85" s="9" t="str">
        <x:v>LKM推理；待逐步审计</x:v>
      </x:c>
      <x:c r="X85" s="9" t="str">
        <x:v>factor subtype=noisy_and; premise_roles={"paper:867771291879342656::H7":"highlight","paper:867771291879342656::P5":"weak_point"}</x:v>
      </x:c>
    </x:row>
    <x:row r="86" ht="72" customHeight="1">
      <x:c r="A86" s="9" t="str">
        <x:v>OTWTA-ARG-C07-S01</x:v>
      </x:c>
      <x:c r="B86" s="9" t="str">
        <x:v>graph_reasoning_step</x:v>
      </x:c>
      <x:c r="C86" s="9" t="str">
        <x:v>lfac_c9fb5d9571d5a824::step_1</x:v>
      </x:c>
      <x:c r="D86" s="9" t="str">
        <x:v>lfac_c9fb5d9571d5a824</x:v>
      </x:c>
      <x:c r="E86" s="9" t="str">
        <x:v>OTWTA-C07</x:v>
      </x:c>
      <x:c r="F86" s="9" t="str">
        <x:v>论文采用的迭代量级剪枝日程为：每轮删除剩余参数的 20%，最多进行 30 轮；第 6 轮以后，每隔 3 轮评估一次模型性能。</x:v>
      </x:c>
      <x:c r="G86" s="9" t="str">
        <x:v>Specify the iterative magnitude-pruning schedule used to obtain winning tickets: an iterative pruning fraction per iteration of $0.2$ (i.e., $20\%$ of remaining parameters removed each iteration) and up to $30$ pruning iterations in total; after the sixth pruning iteration, model performance was evaluated every third pruning iteration. These pruning hyperparameters were applied across the experiments reported.</x:v>
      </x:c>
      <x:c r="H86" s="9" t="str">
        <x:v>论文采用的迭代量级剪枝日程为：每轮删除剩余参数的 20%，最多进行 30 轮；第 6 轮以后，每隔 3 轮评估一次模型性能。</x:v>
      </x:c>
      <x:c r="I86" s="9" t="str">
        <x:v>前提</x:v>
      </x:c>
      <x:c r="J86" s="9" t="str">
        <x:v>LKM 推理步骤</x:v>
      </x:c>
      <x:c r="K86" s="9" t="str">
        <x:v>子网络前提/证据</x:v>
      </x:c>
      <x:c r="L86" s="9" t="str">
        <x:v>§3.1 迭代剪枝 / 延迟重置; Appendix A.1</x:v>
      </x:c>
      <x:c r="M86" s="9" t="str">
        <x:v>—</x:v>
      </x:c>
      <x:c r="N86" s="9" t="str">
        <x:v>L71-L74; L231-L240</x:v>
      </x:c>
      <x:c r="O86" s="9" t="str">
        <x:v>For all models, an iterative pruning rate of 0.2 was used and 30 pruning iterations were performed. ... For Fashion-MNIST, SVHN, CIFAR-10 and CIFAR-100 winning tickets, late resetting of 1 epoch was used. For ImageNet and Places365 winning tickets, late resetting of 3 epochs was used.</x:v>
      </x:c>
      <x:c r="P86" s="9" t="str">
        <x:v>所有模型均采用每轮 0.2 的迭代剪枝率并执行 30 轮剪枝。Fashion-MNIST、SVHN、CIFAR-10 和 CIFAR-100 彩票使用 1 个 epoch 的延迟重置；ImageNet 和 Places365 彩票使用 3 个 epoch 的延迟重置。</x:v>
      </x:c>
      <x:c r="Q86" s="9" t="str">
        <x:v>paper:867771291879342656::conclusion_7</x:v>
      </x:c>
      <x:c r="R86" s="9" t="str"/>
      <x:c r="S86" s="9" t="str">
        <x:v>01_paper_sample_one_ticket/lkm_coarse_reasoning_graph.json; paper_text_ocr_cleaned.md</x:v>
      </x:c>
      <x:c r="T86" s="9" t="str">
        <x:v>$.data.papers[0].graph.nodes[?(@.id=="lfac_c9fb5d9571d5a824")].steps[?(@.step_id=="1")]</x:v>
      </x:c>
      <x:c r="U86" s="9" t="str">
        <x:v>否</x:v>
      </x:c>
      <x:c r="V86" s="9" t="str"/>
      <x:c r="W86" s="9" t="str">
        <x:v>LKM推理；待逐步审计</x:v>
      </x:c>
      <x:c r="X86" s="9" t="str">
        <x:v>factor subtype=noisy_and; premise_roles={"paper:867771291879342656::H8":"highlight"}</x:v>
      </x:c>
    </x:row>
    <x:row r="87" ht="72" customHeight="1">
      <x:c r="A87" s="9" t="str">
        <x:v>OTWTA-ARG-C07-S02</x:v>
      </x:c>
      <x:c r="B87" s="9" t="str">
        <x:v>graph_reasoning_step</x:v>
      </x:c>
      <x:c r="C87" s="9" t="str">
        <x:v>lfac_c9fb5d9571d5a824::step_2</x:v>
      </x:c>
      <x:c r="D87" s="9" t="str">
        <x:v>lfac_c9fb5d9571d5a824</x:v>
      </x:c>
      <x:c r="E87" s="9" t="str">
        <x:v>OTWTA-C07</x:v>
      </x:c>
      <x:c r="F87" s="9" t="str">
        <x:v>不同数据集的延迟重置点为：Fashion-MNIST、SVHN、CIFAR-10 和 CIFAR-100 重置到训练 1 个 epoch 后的权重；ImageNet 和 Places365 重置到训练 3 个 epoch 后的权重。</x:v>
      </x:c>
      <x:c r="G87" s="9" t="str">
        <x:v>State the late resetting choices made for different datasets: for Fashion-MNIST, SVHN, CIFAR-10, and CIFAR-100 winning tickets, weights were reset to their values after $1$ epoch of training; for ImageNet and Places365 winning tickets, weights were reset to their values after $3$ epochs of training. These late resetting values were used consistently in the ticket-discovery pipeline.</x:v>
      </x:c>
      <x:c r="H87" s="9" t="str">
        <x:v>不同数据集的延迟重置点为：Fashion-MNIST、SVHN、CIFAR-10 和 CIFAR-100 重置到训练 1 个 epoch 后的权重；ImageNet 和 Places365 重置到训练 3 个 epoch 后的权重。</x:v>
      </x:c>
      <x:c r="I87" s="9" t="str">
        <x:v>背景</x:v>
      </x:c>
      <x:c r="J87" s="9" t="str">
        <x:v>LKM 推理步骤</x:v>
      </x:c>
      <x:c r="K87" s="9" t="str">
        <x:v>子网络前提/证据</x:v>
      </x:c>
      <x:c r="L87" s="9" t="str">
        <x:v>§3.1 迭代剪枝 / 延迟重置; Appendix A.1</x:v>
      </x:c>
      <x:c r="M87" s="9" t="str">
        <x:v>—</x:v>
      </x:c>
      <x:c r="N87" s="9" t="str">
        <x:v>L71-L74; L231-L240</x:v>
      </x:c>
      <x:c r="O87" s="9" t="str">
        <x:v>For all models, an iterative pruning rate of 0.2 was used and 30 pruning iterations were performed. ... For Fashion-MNIST, SVHN, CIFAR-10 and CIFAR-100 winning tickets, late resetting of 1 epoch was used. For ImageNet and Places365 winning tickets, late resetting of 3 epochs was used.</x:v>
      </x:c>
      <x:c r="P87" s="9" t="str">
        <x:v>所有模型均采用每轮 0.2 的迭代剪枝率并执行 30 轮剪枝。Fashion-MNIST、SVHN、CIFAR-10 和 CIFAR-100 彩票使用 1 个 epoch 的延迟重置；ImageNet 和 Places365 彩票使用 3 个 epoch 的延迟重置。</x:v>
      </x:c>
      <x:c r="Q87" s="9" t="str">
        <x:v>paper:867771291879342656::conclusion_7</x:v>
      </x:c>
      <x:c r="R87" s="9" t="str"/>
      <x:c r="S87" s="9" t="str">
        <x:v>01_paper_sample_one_ticket/lkm_coarse_reasoning_graph.json; paper_text_ocr_cleaned.md</x:v>
      </x:c>
      <x:c r="T87" s="9" t="str">
        <x:v>$.data.papers[0].graph.nodes[?(@.id=="lfac_c9fb5d9571d5a824")].steps[?(@.step_id=="2")]</x:v>
      </x:c>
      <x:c r="U87" s="9" t="str">
        <x:v>否</x:v>
      </x:c>
      <x:c r="V87" s="9" t="str"/>
      <x:c r="W87" s="9" t="str">
        <x:v>LKM推理；待逐步审计</x:v>
      </x:c>
      <x:c r="X87" s="9" t="str">
        <x:v>factor subtype=noisy_and; premise_roles={"paper:867771291879342656::H8":"highlight"}</x:v>
      </x:c>
    </x:row>
    <x:row r="88" ht="72" customHeight="1">
      <x:c r="A88" s="9" t="str">
        <x:v>OTWTA-ARG-C07-S03</x:v>
      </x:c>
      <x:c r="B88" s="9" t="str">
        <x:v>graph_reasoning_step</x:v>
      </x:c>
      <x:c r="C88" s="9" t="str">
        <x:v>lfac_c9fb5d9571d5a824::step_3</x:v>
      </x:c>
      <x:c r="D88" s="9" t="str">
        <x:v>lfac_c9fb5d9571d5a824</x:v>
      </x:c>
      <x:c r="E88" s="9" t="str">
        <x:v>OTWTA-C07</x:v>
      </x:c>
      <x:c r="F88" s="9" t="str">
        <x:v>按模型族匹配的训练超参数为：VGG19 训练 160 个 epoch，在第 80、120 个 epoch 将学习率降低 10 倍；ResNet50 训练 90 个 epoch，在第 50、65、80 个 epoch 将学习率降低 10 倍。SGD 基础学习率为 0.1、动量 0.9、权重衰减 0.0001；Adam 学习率为 0.0003、betas 为 0.9 和 0.999、权重衰减 0.0001。批量大小和分布式训练细节随数据集规模而异。</x:v>
      </x:c>
      <x:c r="G88" s="9" t="str">
        <x:v>Provide the learning-rate annealing and other training hyperparameters matched per model family: for VGG19 models, training ran for $160$ epochs with learning-rate drops by a factor of $10$ at epochs $80$ and $120$; for ResNet50 models, training ran for $90$ epochs with learning-rate drops by a factor of $10$ at epochs $50$, $65$, and $80$; for models trained with SGD the base learning rate was $0.1$ with momentum $0.9$ and weight decay $0.0001$, and for models trained with Adam the learning rate was $0.0003$ with betas $0.9$ and $0.999$ and weight decay $0.0001$. Batch sizes and distributed-training details differed by dataset scale as described in the experimental methods. 
Fig. 3</x:v>
      </x:c>
      <x:c r="H88" s="9" t="str">
        <x:v>按模型族匹配的训练超参数为：VGG19 训练 160 个 epoch，在第 80、120 个 epoch 将学习率降低 10 倍；ResNet50 训练 90 个 epoch，在第 50、65、80 个 epoch 将学习率降低 10 倍。SGD 基础学习率为 0.1、动量 0.9、权重衰减 0.0001；Adam 学习率为 0.0003、betas 为 0.9 和 0.999、权重衰减 0.0001。批量大小和分布式训练细节随数据集规模而异。</x:v>
      </x:c>
      <x:c r="I88" s="9" t="str">
        <x:v>前提</x:v>
      </x:c>
      <x:c r="J88" s="9" t="str">
        <x:v>LKM 推理步骤</x:v>
      </x:c>
      <x:c r="K88" s="9" t="str">
        <x:v>子网络前提/证据</x:v>
      </x:c>
      <x:c r="L88" s="9" t="str">
        <x:v>§3.1 迭代剪枝 / 延迟重置; Appendix A.1</x:v>
      </x:c>
      <x:c r="M88" s="9" t="str">
        <x:v>Fig. 3</x:v>
      </x:c>
      <x:c r="N88" s="9" t="str">
        <x:v>L71-L74; L231-L240</x:v>
      </x:c>
      <x:c r="O88" s="9" t="str">
        <x:v>For all models, an iterative pruning rate of 0.2 was used and 30 pruning iterations were performed. ... For Fashion-MNIST, SVHN, CIFAR-10 and CIFAR-100 winning tickets, late resetting of 1 epoch was used. For ImageNet and Places365 winning tickets, late resetting of 3 epochs was used.</x:v>
      </x:c>
      <x:c r="P88" s="9" t="str">
        <x:v>所有模型均采用每轮 0.2 的迭代剪枝率并执行 30 轮剪枝。Fashion-MNIST、SVHN、CIFAR-10 和 CIFAR-100 彩票使用 1 个 epoch 的延迟重置；ImageNet 和 Places365 彩票使用 3 个 epoch 的延迟重置。</x:v>
      </x:c>
      <x:c r="Q88" s="9" t="str">
        <x:v>paper:867771291879342656::conclusion_7</x:v>
      </x:c>
      <x:c r="R88" s="9" t="str"/>
      <x:c r="S88" s="9" t="str">
        <x:v>01_paper_sample_one_ticket/lkm_coarse_reasoning_graph.json; paper_text_ocr_cleaned.md</x:v>
      </x:c>
      <x:c r="T88" s="9" t="str">
        <x:v>$.data.papers[0].graph.nodes[?(@.id=="lfac_c9fb5d9571d5a824")].steps[?(@.step_id=="3")]</x:v>
      </x:c>
      <x:c r="U88" s="9" t="str">
        <x:v>否</x:v>
      </x:c>
      <x:c r="V88" s="9" t="str"/>
      <x:c r="W88" s="9" t="str">
        <x:v>LKM推理；待逐步审计</x:v>
      </x:c>
      <x:c r="X88" s="9" t="str">
        <x:v>factor subtype=noisy_and; premise_roles={"paper:867771291879342656::H8":"highlight"}</x:v>
      </x:c>
    </x:row>
    <x:row r="89" ht="72" customHeight="1">
      <x:c r="A89" s="9" t="str">
        <x:v>OTWTA-ARG-C07-S04</x:v>
      </x:c>
      <x:c r="B89" s="9" t="str">
        <x:v>graph_reasoning_step</x:v>
      </x:c>
      <x:c r="C89" s="9" t="str">
        <x:v>lfac_c9fb5d9571d5a824::step_4</x:v>
      </x:c>
      <x:c r="D89" s="9" t="str">
        <x:v>lfac_c9fb5d9571d5a824</x:v>
      </x:c>
      <x:c r="E89" s="9" t="str">
        <x:v>OTWTA-C07</x:v>
      </x:c>
      <x:c r="F89" s="9" t="str">
        <x:v>作者对这些设置的解释是：每轮只删除较小比例参数的迭代剪枝有助于降低剪枝过程噪声，比一次性大比例剪枝产生更好的模型和彩票；延迟重置到训练早期能够改善大型模型中的彩票恢复，并减少对学习率预热的需求。</x:v>
      </x:c>
      <x:c r="G89" s="9" t="str">
        <x:v>Note the motivation given by the authors for these settings: iterative pruning with small per-iteration removal (here $20\%$) helps to de-noise the pruning process and produces substantially better pruned models and winning tickets than one-shot large-fraction pruning, and late resetting to an early training iteration $k$ improves winning-ticket recovery and removes the need for learning-rate warmup in large models. These considerations motivated the chosen schedule for the large-model / large-dataset regime studied. 
[8]</x:v>
      </x:c>
      <x:c r="H89" s="9" t="str">
        <x:v>作者对这些设置的解释是：每轮只删除较小比例参数的迭代剪枝有助于降低剪枝过程噪声，比一次性大比例剪枝产生更好的模型和彩票；延迟重置到训练早期能够改善大型模型中的彩票恢复，并减少对学习率预热的需求。</x:v>
      </x:c>
      <x:c r="I89" s="9" t="str">
        <x:v>假说</x:v>
      </x:c>
      <x:c r="J89" s="9" t="str">
        <x:v>LKM 推理步骤</x:v>
      </x:c>
      <x:c r="K89" s="9" t="str">
        <x:v>子网络前提/证据</x:v>
      </x:c>
      <x:c r="L89" s="9" t="str">
        <x:v>§3.1 迭代剪枝 / 延迟重置; Appendix A.1</x:v>
      </x:c>
      <x:c r="M89" s="9" t="str">
        <x:v>—</x:v>
      </x:c>
      <x:c r="N89" s="9" t="str">
        <x:v>L71-L74; L231-L240</x:v>
      </x:c>
      <x:c r="O89" s="9" t="str">
        <x:v>For all models, an iterative pruning rate of 0.2 was used and 30 pruning iterations were performed. ... For Fashion-MNIST, SVHN, CIFAR-10 and CIFAR-100 winning tickets, late resetting of 1 epoch was used. For ImageNet and Places365 winning tickets, late resetting of 3 epochs was used.</x:v>
      </x:c>
      <x:c r="P89" s="9" t="str">
        <x:v>所有模型均采用每轮 0.2 的迭代剪枝率并执行 30 轮剪枝。Fashion-MNIST、SVHN、CIFAR-10 和 CIFAR-100 彩票使用 1 个 epoch 的延迟重置；ImageNet 和 Places365 彩票使用 3 个 epoch 的延迟重置。</x:v>
      </x:c>
      <x:c r="Q89" s="9" t="str">
        <x:v>paper:867771291879342656::conclusion_7</x:v>
      </x:c>
      <x:c r="R89" s="9" t="str"/>
      <x:c r="S89" s="9" t="str">
        <x:v>01_paper_sample_one_ticket/lkm_coarse_reasoning_graph.json; paper_text_ocr_cleaned.md</x:v>
      </x:c>
      <x:c r="T89" s="9" t="str">
        <x:v>$.data.papers[0].graph.nodes[?(@.id=="lfac_c9fb5d9571d5a824")].steps[?(@.step_id=="4")]</x:v>
      </x:c>
      <x:c r="U89" s="9" t="str">
        <x:v>否</x:v>
      </x:c>
      <x:c r="V89" s="9" t="str"/>
      <x:c r="W89" s="9" t="str">
        <x:v>LKM推理；待逐步审计</x:v>
      </x:c>
      <x:c r="X89" s="9" t="str">
        <x:v>factor subtype=noisy_and; premise_roles={"paper:867771291879342656::H8":"highlight"}</x:v>
      </x:c>
    </x:row>
    <x:row r="90" ht="72" customHeight="1">
      <x:c r="A90" s="10" t="str">
        <x:v>OTWTA-ARG-C07-S05</x:v>
      </x:c>
      <x:c r="B90" s="10" t="str">
        <x:v>graph_reasoning_step</x:v>
      </x:c>
      <x:c r="C90" s="10" t="str">
        <x:v>lfac_c9fb5d9571d5a824::step_5</x:v>
      </x:c>
      <x:c r="D90" s="10" t="str">
        <x:v>lfac_c9fb5d9571d5a824</x:v>
      </x:c>
      <x:c r="E90" s="10" t="str">
        <x:v>OTWTA-C07</x:v>
      </x:c>
      <x:c r="F90" s="10" t="str">
        <x:v>因此，在本文的大模型、大数据集设置中，作者采用每轮 20%、最多 30 轮的迭代量级剪枝，并延迟重置到训练早期参数；小型数据集重置到第 1 个 epoch，ImageNet 和 Places365 重置到第 3 个 epoch，同时按模型族匹配学习率日程和其他超参数。</x:v>
      </x:c>
      <x:c r="G90" s="10" t="str">
        <x:v>Conclude that, for obtaining competitive winning tickets in the large-model / large-dataset regime used here, the authors used an iterative magnitude-pruning schedule with pruning fraction per iteration $0.2$ over up to $30$ iterations combined with late resetting to parameters at a small early training iteration; the explicit late resetting settings were $1$ epoch for Fashion-MNIST, SVHN, CIFAR-10 and CIFAR-100, and $3$ epochs for ImageNet and Places365, and learning-rate annealing schedules and other hyperparameters were matched per model family (VGG19 trained $160$ epochs with LR drops at epochs $80$ and $120$; ResNet50 trained $90$ epochs with LR drops at epochs $50$, $65$, and $80$). 
[8]</x:v>
      </x:c>
      <x:c r="H90" s="10" t="str">
        <x:v>因此，在本文的大模型、大数据集设置中，作者采用每轮 20%、最多 30 轮的迭代量级剪枝，并延迟重置到训练早期参数；小型数据集重置到第 1 个 epoch，ImageNet 和 Places365 重置到第 3 个 epoch，同时按模型族匹配学习率日程和其他超参数。</x:v>
      </x:c>
      <x:c r="I90" s="10" t="str">
        <x:v>结论</x:v>
      </x:c>
      <x:c r="J90" s="10" t="str">
        <x:v>LKM 推理步骤</x:v>
      </x:c>
      <x:c r="K90" s="10" t="str">
        <x:v>子网络推出步骤</x:v>
      </x:c>
      <x:c r="L90" s="10" t="str">
        <x:v>§3.1 迭代剪枝 / 延迟重置; Appendix A.1</x:v>
      </x:c>
      <x:c r="M90" s="10" t="str">
        <x:v>—</x:v>
      </x:c>
      <x:c r="N90" s="10" t="str">
        <x:v>L71-L74; L231-L240</x:v>
      </x:c>
      <x:c r="O90" s="10" t="str">
        <x:v>For all models, an iterative pruning rate of 0.2 was used and 30 pruning iterations were performed. ... For Fashion-MNIST, SVHN, CIFAR-10 and CIFAR-100 winning tickets, late resetting of 1 epoch was used. For ImageNet and Places365 winning tickets, late resetting of 3 epochs was used.</x:v>
      </x:c>
      <x:c r="P90" s="10" t="str">
        <x:v>所有模型均采用每轮 0.2 的迭代剪枝率并执行 30 轮剪枝。Fashion-MNIST、SVHN、CIFAR-10 和 CIFAR-100 彩票使用 1 个 epoch 的延迟重置；ImageNet 和 Places365 彩票使用 3 个 epoch 的延迟重置。</x:v>
      </x:c>
      <x:c r="Q90" s="10" t="str">
        <x:v>paper:867771291879342656::conclusion_7</x:v>
      </x:c>
      <x:c r="R90" s="10" t="str"/>
      <x:c r="S90" s="10" t="str">
        <x:v>01_paper_sample_one_ticket/lkm_coarse_reasoning_graph.json; paper_text_ocr_cleaned.md</x:v>
      </x:c>
      <x:c r="T90" s="10" t="str">
        <x:v>$.data.papers[0].graph.nodes[?(@.id=="lfac_c9fb5d9571d5a824")].steps[?(@.step_id=="5")]</x:v>
      </x:c>
      <x:c r="U90" s="10" t="str">
        <x:v>否</x:v>
      </x:c>
      <x:c r="V90" s="10" t="str"/>
      <x:c r="W90" s="10" t="str">
        <x:v>LKM推理；待逐步审计</x:v>
      </x:c>
      <x:c r="X90" s="10" t="str">
        <x:v>factor subtype=noisy_and; premise_roles={"paper:867771291879342656::H8":"highlight"}</x:v>
      </x:c>
    </x:row>
  </x:sheetData>
  <x:conditionalFormatting sqref="U2:U90">
    <x:cfRule type="containsText" dxfId="0" priority="1" operator="containsText" text="是"/>
    <x:cfRule type="containsText" dxfId="1" priority="2" operator="containsText" text="否"/>
  </x:conditionalFormatting>
  <x:conditionalFormatting sqref="W2:W90">
    <x:cfRule type="containsText" dxfId="2" priority="3" operator="containsText" text="待"/>
    <x:cfRule type="containsText" dxfId="3" priority="4" operator="containsText" text="需"/>
  </x:conditionalFormatting>
  <x:conditionalFormatting sqref="I2:I90">
    <x:cfRule type="containsText" dxfId="4" priority="5" operator="containsText" text="观察"/>
    <x:cfRule type="containsText" dxfId="5" priority="6" operator="containsText" text="问题"/>
    <x:cfRule type="containsText" dxfId="6" priority="7" operator="containsText" text="假说"/>
  </x:conditionalFormatting>
  <x:dataValidations count="3">
    <x:dataValidation type="list" sqref="I2:I90">
      <x:formula1>"结论,观察,假说,前提,背景,问题"</x:formula1>
    </x:dataValidation>
    <x:dataValidation type="list" sqref="U2:U90">
      <x:formula1>"否,部分,是"</x:formula1>
    </x:dataValidation>
    <x:dataValidation type="list" sqref="W2:W90">
      <x:formula1>"已核对,已定位原文；待句级复核,需核对图中读数,分析性命题；待复核,问题设定；待确认边界,LKM推理；待逐步审计"</x:formula1>
    </x:dataValidation>
  </x:dataValidations>
  <x:pageMargins left="0.7" right="0.7" top="0.75" bottom="0.75" header="0.3" footer="0.3"/>
  <x:tableParts count="1">
    <x:tablePart xmlns:r="http://schemas.openxmlformats.org/officeDocument/2006/relationships" r:id="Ra6bd4690a52949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24" hidden="0" customWidth="1"/>
    <x:col min="4" max="4" width="34" hidden="0" customWidth="1"/>
    <x:col min="5" max="5" width="60" hidden="0" customWidth="1"/>
    <x:col min="6" max="6" width="24" hidden="0" customWidth="1"/>
    <x:col min="7" max="7" width="28" hidden="0" customWidth="1"/>
    <x:col min="8" max="8" width="28" hidden="0" customWidth="1"/>
    <x:col min="9" max="9" width="20" hidden="0" customWidth="1"/>
    <x:col min="10" max="10" width="26" hidden="0" customWidth="1"/>
    <x:col min="11" max="11" width="12" hidden="0" customWidth="1"/>
    <x:col min="12" max="12" width="32" hidden="0" customWidth="1"/>
    <x:col min="13" max="13" width="20" hidden="0" customWidth="1"/>
    <x:col min="14" max="14" width="16" hidden="0" customWidth="1"/>
    <x:col min="15" max="15" width="54" hidden="0" customWidth="1"/>
  </x:cols>
  <x:sheetData>
    <x:row r="1" ht="32" customHeight="1">
      <x:c r="A1" s="7" t="str">
        <x:v>规范结论_ID</x:v>
      </x:c>
      <x:c r="B1" s="7" t="str">
        <x:v>Graph_结论_ID</x:v>
      </x:c>
      <x:c r="C1" s="7" t="str">
        <x:v>Global_ID</x:v>
      </x:c>
      <x:c r="D1" s="7" t="str">
        <x:v>标题（中文）</x:v>
      </x:c>
      <x:c r="E1" s="7" t="str">
        <x:v>粗粒度结论文本（中文）</x:v>
      </x:c>
      <x:c r="F1" s="7" t="str">
        <x:v>Clean_命题_ID</x:v>
      </x:c>
      <x:c r="G1" s="7" t="str">
        <x:v>观察证据_ID</x:v>
      </x:c>
      <x:c r="H1" s="7" t="str">
        <x:v>Weakpoint_ID</x:v>
      </x:c>
      <x:c r="I1" s="7" t="str">
        <x:v>问题_ID</x:v>
      </x:c>
      <x:c r="J1" s="7" t="str">
        <x:v>推理因子_ID</x:v>
      </x:c>
      <x:c r="K1" s="7" t="str">
        <x:v>Graph_prior</x:v>
      </x:c>
      <x:c r="L1" s="7" t="str">
        <x:v>论文章节</x:v>
      </x:c>
      <x:c r="M1" s="7" t="str">
        <x:v>图表</x:v>
      </x:c>
      <x:c r="N1" s="7" t="str">
        <x:v>已进入正式IR</x:v>
      </x:c>
      <x:c r="O1" s="7" t="str">
        <x:v>LKM_评述（中文）</x:v>
      </x:c>
    </x:row>
    <x:row r="2" ht="88" customHeight="1">
      <x:c r="A2" s="8" t="str">
        <x:v>OTWTA-C01</x:v>
      </x:c>
      <x:c r="B2" s="8" t="str">
        <x:v>paper:867771291879342656::conclusion_1</x:v>
      </x:c>
      <x:c r="C2" s="8" t="str">
        <x:v>gcn_f22fc9a9f36d4b45</x:v>
      </x:c>
      <x:c r="D2" s="8" t="str">
        <x:v>大型自然图像源数据集得到的中奖彩票可迁移到自然图像目标数据集，性能接近目标任务专用彩票</x:v>
      </x:c>
      <x:c r="E2" s="8" t="str">
        <x:v>在大型、复杂的自然图像源数据集（ImageNet、Places365，以及较弱程度上的 CIFAR-100）上，通过迭代量级剪枝发现的中奖彩票初始化（每轮剪枝率 0.2，最多 30 轮，并延迟重置到训练早期参数），用于在其他自然图像目标数据集（SVHN、Fashion-MNIST、CIFAR-10、CIFAR-100、ImageNet、Places365）上训练相同的 VGG19 或 ResNet50 架构时，往往能取得接近直接在目标数据集上发现的彩票的测试准确率。这种迁移在广泛的剪枝比例下都能观察到，包括极高稀疏度；大型、类别更丰富的源数据集通常比小型源数据集产生更强的跨数据集迁移，例如训练样本数相同的 CIFAR-100 彩票比 CIFAR-10 彩票泛化更好。</x:v>
      </x:c>
      <x:c r="F2" s="8" t="str">
        <x:v>A001; A002; A003; A006; A007; A009; A010</x:v>
      </x:c>
      <x:c r="G2" s="8" t="str">
        <x:v>OTWTA-OBS-H01; OTWTA-OBS-H02</x:v>
      </x:c>
      <x:c r="H2" s="8" t="str"/>
      <x:c r="I2" s="8" t="str">
        <x:v>OTWTA-Q-C01</x:v>
      </x:c>
      <x:c r="J2" s="8" t="str">
        <x:v>lfac_38ad8d064f6577f1</x:v>
      </x:c>
      <x:c r="K2" s="8" t="n">
        <x:v>0.95</x:v>
      </x:c>
      <x:c r="L2" s="8" t="str">
        <x:v>§4.2 跨数据集迁移</x:v>
      </x:c>
      <x:c r="M2" s="8" t="str">
        <x:v>Fig. 3; Fig. 4</x:v>
      </x:c>
      <x:c r="N2" s="8" t="str">
        <x:v>否</x:v>
      </x:c>
      <x:c r="O2" s="8" t="str">
        <x:v>该结论得到较充分实证支持。观察 H1 表明，迁移彩票能够缓解 Fashion-MNIST 目标任务特有的过拟合；H2 则表明迁移模式在 VGG19 和 ResNet50 两种架构上保持一致，从而增强了架构无关效应的可信度。但源数据集“复杂度”这一概念仍需更严格操作化；除类别数外，样本量和任务难度等因素也可能混杂。</x:v>
      </x:c>
    </x:row>
    <x:row r="3" ht="88" customHeight="1">
      <x:c r="A3" s="9" t="str">
        <x:v>OTWTA-C02</x:v>
      </x:c>
      <x:c r="B3" s="9" t="str">
        <x:v>paper:867771291879342656::conclusion_2</x:v>
      </x:c>
      <x:c r="C3" s="9" t="str">
        <x:v>gcn_0fdc65dd973e495e</x:v>
      </x:c>
      <x:c r="D3" s="9" t="str">
        <x:v>源数据集规模和类别数量可预测中奖彩票的可迁移性</x:v>
      </x:c>
      <x:c r="E3" s="9" t="str">
        <x:v>在 VGG19 和 ResNet50 两种架构上，从训练样本更多、输出类别更多的大型源数据集中发现的中奖彩票，迁移到其他自然图像分类数据集时，明显优于从小型源数据集中发现的彩票。这一效应不能只用原始训练集大小解释：在训练样本数相同的情况下，类别更多的 CIFAR-100（100 类）产生的彩票，比类别较少的 CIFAR-10（10 类）产生的彩票在多个目标任务上泛化更好。</x:v>
      </x:c>
      <x:c r="F3" s="9" t="str">
        <x:v>A006; A007; A008; A009; A010</x:v>
      </x:c>
      <x:c r="G3" s="9" t="str">
        <x:v>OTWTA-OBS-H03</x:v>
      </x:c>
      <x:c r="H3" s="9" t="str">
        <x:v>OTWTA-WP-P01</x:v>
      </x:c>
      <x:c r="I3" s="9" t="str">
        <x:v>OTWTA-Q-C02</x:v>
      </x:c>
      <x:c r="J3" s="9" t="str">
        <x:v>lfac_cb96d1b77e42b35b</x:v>
      </x:c>
      <x:c r="K3" s="9" t="n">
        <x:v>0.7</x:v>
      </x:c>
      <x:c r="L3" s="9" t="str">
        <x:v>§4.2 跨数据集迁移</x:v>
      </x:c>
      <x:c r="M3" s="9" t="str">
        <x:v>Fig. 3; Fig. 4</x:v>
      </x:c>
      <x:c r="N3" s="9" t="str">
        <x:v>否</x:v>
      </x:c>
      <x:c r="O3" s="9" t="str">
        <x:v>观察 H3 表明，不同目标数据集和两种架构上，源数据集有效性的排序相当一致。但 weakpoint P1 指出 CIFAR-10 与 CIFAR-100 的比较并未控制类别数以外的数据属性，因此“类别数量独立预测可迁移性”的结论只能被有限支持。该结论不应被表述为已建立的因果关系。</x:v>
      </x:c>
    </x:row>
    <x:row r="4" ht="88" customHeight="1">
      <x:c r="A4" s="9" t="str">
        <x:v>OTWTA-C03</x:v>
      </x:c>
      <x:c r="B4" s="9" t="str">
        <x:v>paper:867771291879342656::conclusion_3</x:v>
      </x:c>
      <x:c r="C4" s="9" t="str">
        <x:v>gcn_d354352c21724714</x:v>
      </x:c>
      <x:c r="D4" s="9" t="str">
        <x:v>VGG 模型的中奖彩票可以在优化器之间迁移（带动量 SGD 与 Adam）</x:v>
      </x:c>
      <x:c r="E4" s="9" t="str">
        <x:v>在自然图像分类任务中，使用一种优化器产生的中奖彩票初始化可以迁移到另一种优化器：用带动量 SGD 或 Adam 在 VGG19 上发现的彩票，改用另一种优化器训练时，能够获得与目标优化器直接发现的彩票相近的较高性能。但行为存在优化器相关差异：从 SGD 迁移到 Adam 的彩票在低剪枝比例下有时不如随机彩票，而在高剪枝比例下则优于随机彩票。</x:v>
      </x:c>
      <x:c r="F4" s="9" t="str">
        <x:v>A011; A012; A013; A014</x:v>
      </x:c>
      <x:c r="G4" s="9" t="str">
        <x:v>OTWTA-OBS-H04</x:v>
      </x:c>
      <x:c r="H4" s="9" t="str">
        <x:v>OTWTA-WP-P02</x:v>
      </x:c>
      <x:c r="I4" s="9" t="str">
        <x:v>OTWTA-Q-C03</x:v>
      </x:c>
      <x:c r="J4" s="9" t="str">
        <x:v>lfac_666bfce3ddeaaf51</x:v>
      </x:c>
      <x:c r="K4" s="9" t="n">
        <x:v>0.5</x:v>
      </x:c>
      <x:c r="L4" s="9" t="str">
        <x:v>§4.3 跨优化器迁移</x:v>
      </x:c>
      <x:c r="M4" s="9" t="str">
        <x:v>Fig. 5</x:v>
      </x:c>
      <x:c r="N4" s="9" t="str">
        <x:v>否</x:v>
      </x:c>
      <x:c r="O4" s="9" t="str">
        <x:v>观察 H4 提供了一个控制优化器变量的跨优化器实验，支持 VGG19 上的跨优化器迁移。但 weakpoint P2 指出实验仅覆盖单一架构，且图文没有明确数据集，因此证据范围受到限制。结论如果仅限定为所测配置较为可信，若推广到其他架构或数据集则证据不足。</x:v>
      </x:c>
    </x:row>
    <x:row r="5" ht="88" customHeight="1">
      <x:c r="A5" s="9" t="str">
        <x:v>OTWTA-C04</x:v>
      </x:c>
      <x:c r="B5" s="9" t="str">
        <x:v>paper:867771291879342656::conclusion_4</x:v>
      </x:c>
      <x:c r="C5" s="9" t="str">
        <x:v>gcn_2cab68b8709b4d9f</x:v>
      </x:c>
      <x:c r="D5" s="9" t="str">
        <x:v>中奖彩票能够在同一数据分布的不同样本子集之间泛化</x:v>
      </x:c>
      <x:c r="E5" s="9" t="str">
        <x:v>在包含 25,000 张训练图像、每类 2,500 张图像的 CIFAR-10a 子集上发现的中奖彩票，可以迁移到同一分布下互不重叠的 CIFAR-10b 子集，并相对于随机稀疏初始化改善该留出子集上的训练。该同分布迁移在 VGG19 和 ResNet50 上都成立，但 ResNet50 在低剪枝比例下较敏感，少量权重被剪除时偶尔不如随机彩票。</x:v>
      </x:c>
      <x:c r="F5" s="9" t="str">
        <x:v>A015; A016; A017</x:v>
      </x:c>
      <x:c r="G5" s="9" t="str">
        <x:v>OTWTA-OBS-H05</x:v>
      </x:c>
      <x:c r="H5" s="9" t="str">
        <x:v>OTWTA-WP-P03</x:v>
      </x:c>
      <x:c r="I5" s="9" t="str">
        <x:v>OTWTA-Q-C04</x:v>
      </x:c>
      <x:c r="J5" s="9" t="str">
        <x:v>lfac_745c4fd9e6ca523f</x:v>
      </x:c>
      <x:c r="K5" s="9" t="n">
        <x:v>0.6</x:v>
      </x:c>
      <x:c r="L5" s="9" t="str">
        <x:v>§4.1 同一数据分布内迁移</x:v>
      </x:c>
      <x:c r="M5" s="9" t="str">
        <x:v>Fig. 2</x:v>
      </x:c>
      <x:c r="N5" s="9" t="str">
        <x:v>否</x:v>
      </x:c>
      <x:c r="O5" s="9" t="str">
        <x:v>观察 H5 表明彩票可在留出子集上改善训练，因此支持中奖彩票不只是记忆特定训练样本。但 weakpoint P3 指出结论只基于 CIFAR-10 的一次确定性切分，尚未在其他切分或数据集上复现。因此，该证据支持同分布内可迁移性，但不足以直接建立跨不同数据集或跨数据域的广泛可迁移性。</x:v>
      </x:c>
    </x:row>
    <x:row r="6" ht="88" customHeight="1">
      <x:c r="A6" s="9" t="str">
        <x:v>OTWTA-C05</x:v>
      </x:c>
      <x:c r="B6" s="9" t="str">
        <x:v>paper:867771291879342656::conclusion_5</x:v>
      </x:c>
      <x:c r="C6" s="9" t="str">
        <x:v>gcn_cdeb0e970f4042d0</x:v>
      </x:c>
      <x:c r="D6" s="9" t="str">
        <x:v>全局量级剪枝优于逐层剪枝，并产生非均匀的逐层稀疏模式（深层剪得更多）</x:v>
      </x:c>
      <x:c r="E6" s="9" t="str">
        <x:v>在 CIFAR-10 上训练 VGG19 并发现中奖彩票时，将所有层的权重放在一起按量级排序、全局删除最小权重，得到的稀疏子网络性能高于每层按固定比例剪枝的逐层剪枝。在全局量级剪枝下，各层剪枝比例并不相同：更深的卷积层被剪得更多，而浅层、尤其第一卷积层保留了更大比例的参数。</x:v>
      </x:c>
      <x:c r="F6" s="9" t="str">
        <x:v>A018; A019</x:v>
      </x:c>
      <x:c r="G6" s="9" t="str">
        <x:v>OTWTA-OBS-H06</x:v>
      </x:c>
      <x:c r="H6" s="9" t="str">
        <x:v>OTWTA-WP-P04</x:v>
      </x:c>
      <x:c r="I6" s="9" t="str">
        <x:v>OTWTA-Q-C05</x:v>
      </x:c>
      <x:c r="J6" s="9" t="str">
        <x:v>lfac_58096a5ebe94e02b</x:v>
      </x:c>
      <x:c r="K6" s="9" t="n">
        <x:v>0.5</x:v>
      </x:c>
      <x:c r="L6" s="9" t="str">
        <x:v>§3.1 彩票假说——全局剪枝</x:v>
      </x:c>
      <x:c r="M6" s="9" t="str">
        <x:v>Fig. 1</x:v>
      </x:c>
      <x:c r="N6" s="9" t="str">
        <x:v>否</x:v>
      </x:c>
      <x:c r="O6" s="9" t="str">
        <x:v>观察 H6 对全局剪枝和逐层剪枝进行了直接实证比较，并显示逐层稀疏模式不均匀。但 weakpoint P4 指出实验只覆盖 CIFAR-10 上的 VGG19，因此在其他架构和数据集上的推广仍待验证。结论在所测配置上成立，但其普遍性有限。</x:v>
      </x:c>
    </x:row>
    <x:row r="7" ht="88" customHeight="1">
      <x:c r="A7" s="9" t="str">
        <x:v>OTWTA-C06</x:v>
      </x:c>
      <x:c r="B7" s="9" t="str">
        <x:v>paper:867771291879342656::conclusion_6</x:v>
      </x:c>
      <x:c r="C7" s="9" t="str">
        <x:v>gcn_764a16230b6b4c66</x:v>
      </x:c>
      <x:c r="D7" s="9" t="str">
        <x:v>掩码结构包含大量信息；公平的随机基线必须随机化掩码结构</x:v>
      </x:c>
      <x:c r="E7" s="9" t="str">
        <x:v>对于在 CIFAR-10 上训练的 VGG19，剪枝掩码的结构包含对训练稀疏网络有用的重要信息。比较保留的彩票掩码、仅在层内置换的掩码和跨所有层全局置换的掩码可见：层内置换使性能中度下降，而全局置换导致性能显著下降。因此，用于评估中奖彩票初始化的公平“随机彩票”基线应同时随机化权重值和掩码结构，因为保留逐层掩码统计会从已发现的彩票中携带信息。</x:v>
      </x:c>
      <x:c r="F7" s="9" t="str">
        <x:v>A020; A021; A022; A023; A024</x:v>
      </x:c>
      <x:c r="G7" s="9" t="str">
        <x:v>OTWTA-OBS-H07</x:v>
      </x:c>
      <x:c r="H7" s="9" t="str">
        <x:v>OTWTA-WP-P05</x:v>
      </x:c>
      <x:c r="I7" s="9" t="str">
        <x:v>OTWTA-Q-C06</x:v>
      </x:c>
      <x:c r="J7" s="9" t="str">
        <x:v>lfac_c6ff5645cff61bd7</x:v>
      </x:c>
      <x:c r="K7" s="9" t="n">
        <x:v>0.5</x:v>
      </x:c>
      <x:c r="L7" s="9" t="str">
        <x:v>§3.1 随机掩码; Appendix A.2 随机化掩码</x:v>
      </x:c>
      <x:c r="M7" s="9" t="str">
        <x:v>Fig. A1（并参照 Fig. 1）</x:v>
      </x:c>
      <x:c r="N7" s="9" t="str">
        <x:v>否</x:v>
      </x:c>
      <x:c r="O7" s="9" t="str">
        <x:v>观察 H7 通过清晰的消融实验表明，掩码结构在两个层面都携带信息，支持随机基线必须随机化掩码结构的主张。但 weakpoint P5 指出证据仅来自 CIFAR-10 上的 VGG19，尚未在其他架构或数据集上验证。方法学建议在该设置中依据充分，跨任务推广仍需谨慎。</x:v>
      </x:c>
    </x:row>
    <x:row r="8" ht="88" customHeight="1">
      <x:c r="A8" s="10" t="str">
        <x:v>OTWTA-C07</x:v>
      </x:c>
      <x:c r="B8" s="10" t="str">
        <x:v>paper:867771291879342656::conclusion_7</x:v>
      </x:c>
      <x:c r="C8" s="10" t="str">
        <x:v>gcn_1c4ea7e959814d8f</x:v>
      </x:c>
      <x:c r="D8" s="10" t="str">
        <x:v>用于大型模型和数据集的彩票发现流程：延迟重置与迭代量级剪枝日程</x:v>
      </x:c>
      <x:c r="E8" s="10" t="str">
        <x:v>为了在自然图像分类的大模型、大数据集场景中得到有竞争力的中奖彩票，论文采用每轮剪除剩余参数 20%、最多 30 轮的迭代量级剪枝，并将参数延迟重置到训练早期。Fashion-MNIST、SVHN、CIFAR-10 和 CIFAR-100 重置到第 1 个 epoch 后的参数，ImageNet 和 Places365 重置到第 3 个 epoch 后的参数。学习率退火和其他超参数按模型族匹配：VGG19 训练 160 个 epoch，在第 80、120 个 epoch 降低学习率；ResNet50 训练 90 个 epoch，在第 50、65、80 个 epoch 降低学习率。</x:v>
      </x:c>
      <x:c r="F8" s="10" t="str">
        <x:v>A025</x:v>
      </x:c>
      <x:c r="G8" s="10" t="str">
        <x:v>OTWTA-OBS-H08</x:v>
      </x:c>
      <x:c r="H8" s="10" t="str"/>
      <x:c r="I8" s="10" t="str">
        <x:v>OTWTA-Q-C07</x:v>
      </x:c>
      <x:c r="J8" s="10" t="str">
        <x:v>lfac_c9fb5d9571d5a824</x:v>
      </x:c>
      <x:c r="K8" s="10" t="n">
        <x:v>0.9</x:v>
      </x:c>
      <x:c r="L8" s="10" t="str">
        <x:v>§3.1 迭代剪枝 / 延迟重置; Appendix A.1</x:v>
      </x:c>
      <x:c r="M8" s="10" t="str">
        <x:v>—</x:v>
      </x:c>
      <x:c r="N8" s="10" t="str">
        <x:v>否</x:v>
      </x:c>
      <x:c r="O8" s="10" t="str">
        <x:v>观察 H8 证明该延迟重置与迭代剪枝流程能够在六个数据集的大模型上成功产生中奖彩票，从而支撑后续迁移实验。这里没有发现直接的 weakpoint；该日程作为论文中的有效流程得到验证，但并不意味着这些超参数在所有场景中最优。</x:v>
      </x:c>
    </x:row>
  </x:sheetData>
  <x:dataValidations count="1">
    <x:dataValidation type="list" sqref="N2:N8">
      <x:formula1>"否,部分,是"</x:formula1>
    </x:dataValidation>
  </x:dataValidations>
  <x:pageMargins left="0.7" right="0.7" top="0.75" bottom="0.75" header="0.3" footer="0.3"/>
  <x:tableParts count="1">
    <x:tablePart xmlns:r="http://schemas.openxmlformats.org/officeDocument/2006/relationships" r:id="Rd1d917f255b34f0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22" hidden="0" customWidth="1"/>
    <x:col min="4" max="4" width="50" hidden="0" customWidth="1"/>
    <x:col min="5" max="5" width="50" hidden="0" customWidth="1"/>
    <x:col min="6" max="6" width="18" hidden="0" customWidth="1"/>
    <x:col min="7" max="7" width="18" hidden="0" customWidth="1"/>
    <x:col min="8" max="8" width="10" hidden="0" customWidth="1"/>
    <x:col min="9" max="9" width="10" hidden="0" customWidth="1"/>
    <x:col min="10" max="10" width="58" hidden="0" customWidth="1"/>
    <x:col min="11" max="11" width="16" hidden="0" customWidth="1"/>
    <x:col min="12" max="12" width="42" hidden="0" customWidth="1"/>
  </x:cols>
  <x:sheetData>
    <x:row r="1" ht="32" customHeight="1">
      <x:c r="A1" s="7" t="str">
        <x:v>稳定关系_ID</x:v>
      </x:c>
      <x:c r="B1" s="7" t="str">
        <x:v>来源层</x:v>
      </x:c>
      <x:c r="C1" s="7" t="str">
        <x:v>原始关系_ID</x:v>
      </x:c>
      <x:c r="D1" s="7" t="str">
        <x:v>Source/相关命题</x:v>
      </x:c>
      <x:c r="E1" s="7" t="str">
        <x:v>Target</x:v>
      </x:c>
      <x:c r="F1" s="7" t="str">
        <x:v>关系类型</x:v>
      </x:c>
      <x:c r="G1" s="7" t="str">
        <x:v>推理类型</x:v>
      </x:c>
      <x:c r="H1" s="7" t="str">
        <x:v>p1</x:v>
      </x:c>
      <x:c r="I1" s="7" t="str">
        <x:v>p2</x:v>
      </x:c>
      <x:c r="J1" s="7" t="str">
        <x:v>关系说明</x:v>
      </x:c>
      <x:c r="K1" s="7" t="str">
        <x:v>已进入正式IR</x:v>
      </x:c>
      <x:c r="L1" s="7" t="str">
        <x:v>备注</x:v>
      </x:c>
    </x:row>
    <x:row r="2" ht="52" customHeight="1">
      <x:c r="A2" s="8" t="str">
        <x:v>OTWTA-REL-CLEAN-R001</x:v>
      </x:c>
      <x:c r="B2" s="8" t="str">
        <x:v>clean_relation</x:v>
      </x:c>
      <x:c r="C2" s="8" t="str">
        <x:v>R001</x:v>
      </x:c>
      <x:c r="D2" s="8" t="str">
        <x:v>A001; A002</x:v>
      </x:c>
      <x:c r="E2" s="8" t="str"/>
      <x:c r="F2" s="8" t="str">
        <x:v>举例</x:v>
      </x:c>
      <x:c r="G2" s="8" t="str">
        <x:v>无</x:v>
      </x:c>
      <x:c r="H2" s="8" t="str"/>
      <x:c r="I2" s="8" t="str"/>
      <x:c r="J2" s="8" t="str">
        <x:v>A002是A001的具体举例版本，将A001中笼统的数据集描述替换为具体数据集名称。</x:v>
      </x:c>
      <x:c r="K2" s="8" t="str">
        <x:v>否</x:v>
      </x:c>
      <x:c r="L2" s="8" t="str">
        <x:v>source conclusions: paper:867771291879342656::conclusion_1</x:v>
      </x:c>
    </x:row>
    <x:row r="3" ht="52" customHeight="1">
      <x:c r="A3" s="9" t="str">
        <x:v>OTWTA-REL-CLEAN-R003</x:v>
      </x:c>
      <x:c r="B3" s="9" t="str">
        <x:v>clean_relation</x:v>
      </x:c>
      <x:c r="C3" s="9" t="str">
        <x:v>R003</x:v>
      </x:c>
      <x:c r="D3" s="9" t="str">
        <x:v>A006; A007</x:v>
      </x:c>
      <x:c r="E3" s="9" t="str"/>
      <x:c r="F3" s="9" t="str">
        <x:v>举例</x:v>
      </x:c>
      <x:c r="G3" s="9" t="str">
        <x:v>无</x:v>
      </x:c>
      <x:c r="H3" s="9" t="str"/>
      <x:c r="I3" s="9" t="str"/>
      <x:c r="J3" s="9" t="str">
        <x:v>A007是A006的具体举例版本，将A006中笼统的“其他自然图像分类数据集”替换为具体数据集名称（SVHN、Fashion-MNIST、CIFAR-10、CIFAR-100、ImageNet、Places365）。</x:v>
      </x:c>
      <x:c r="K3" s="9" t="str">
        <x:v>否</x:v>
      </x:c>
      <x:c r="L3" s="9" t="str">
        <x:v>source conclusions: paper:867771291879342656::conclusion_2</x:v>
      </x:c>
    </x:row>
    <x:row r="4" ht="52" customHeight="1">
      <x:c r="A4" s="9" t="str">
        <x:v>OTWTA-REL-CLEAN-R004</x:v>
      </x:c>
      <x:c r="B4" s="9" t="str">
        <x:v>clean_relation</x:v>
      </x:c>
      <x:c r="C4" s="9" t="str">
        <x:v>R004</x:v>
      </x:c>
      <x:c r="D4" s="9" t="str">
        <x:v>A009; A010</x:v>
      </x:c>
      <x:c r="E4" s="9" t="str"/>
      <x:c r="F4" s="9" t="str">
        <x:v>举例</x:v>
      </x:c>
      <x:c r="G4" s="9" t="str">
        <x:v>无</x:v>
      </x:c>
      <x:c r="H4" s="9" t="str"/>
      <x:c r="I4" s="9" t="str"/>
      <x:c r="J4" s="9" t="str">
        <x:v>A010是A009的具体举例版本，将A009中笼统的“类别数较多/较少的源数据集”替换为CIFAR-100与CIFAR-10的具体对比。</x:v>
      </x:c>
      <x:c r="K4" s="9" t="str">
        <x:v>否</x:v>
      </x:c>
      <x:c r="L4" s="9" t="str">
        <x:v>source conclusions: paper:867771291879342656::conclusion_2</x:v>
      </x:c>
    </x:row>
    <x:row r="5" ht="52" customHeight="1">
      <x:c r="A5" s="9" t="str">
        <x:v>OTWTA-REL-CLEAN-R005</x:v>
      </x:c>
      <x:c r="B5" s="9" t="str">
        <x:v>clean_relation</x:v>
      </x:c>
      <x:c r="C5" s="9" t="str">
        <x:v>R005</x:v>
      </x:c>
      <x:c r="D5" s="9" t="str">
        <x:v>A009; A008</x:v>
      </x:c>
      <x:c r="E5" s="9" t="str"/>
      <x:c r="F5" s="9" t="str">
        <x:v>推出</x:v>
      </x:c>
      <x:c r="G5" s="9" t="str">
        <x:v>演绎</x:v>
      </x:c>
      <x:c r="H5" s="9" t="str"/>
      <x:c r="I5" s="9" t="str"/>
      <x:c r="J5" s="9" t="str">
        <x:v>A009所描述的实验证据（控制训练集大小后，类别数更多的源数据集迁移效果更好）推出A008的论断——即该效应不能仅用原始训练集大小来解释。</x:v>
      </x:c>
      <x:c r="K5" s="9" t="str">
        <x:v>否</x:v>
      </x:c>
      <x:c r="L5" s="9" t="str">
        <x:v>source conclusions: paper:867771291879342656::conclusion_2</x:v>
      </x:c>
    </x:row>
    <x:row r="6" ht="52" customHeight="1">
      <x:c r="A6" s="9" t="str">
        <x:v>OTWTA-REL-CLEAN-R006</x:v>
      </x:c>
      <x:c r="B6" s="9" t="str">
        <x:v>clean_relation</x:v>
      </x:c>
      <x:c r="C6" s="9" t="str">
        <x:v>R006</x:v>
      </x:c>
      <x:c r="D6" s="9" t="str">
        <x:v>A011; A012</x:v>
      </x:c>
      <x:c r="E6" s="9" t="str"/>
      <x:c r="F6" s="9" t="str">
        <x:v>举例</x:v>
      </x:c>
      <x:c r="G6" s="9" t="str">
        <x:v>无</x:v>
      </x:c>
      <x:c r="H6" s="9" t="str"/>
      <x:c r="I6" s="9" t="str"/>
      <x:c r="J6" s="9" t="str">
        <x:v>A012是A011的具体举例，展示了VGG19在SGD与Adam之间互相迁移时取得的具体表现。</x:v>
      </x:c>
      <x:c r="K6" s="9" t="str">
        <x:v>否</x:v>
      </x:c>
      <x:c r="L6" s="9" t="str">
        <x:v>source conclusions: paper:867771291879342656::conclusion_3</x:v>
      </x:c>
    </x:row>
    <x:row r="7" ht="52" customHeight="1">
      <x:c r="A7" s="9" t="str">
        <x:v>OTWTA-REL-CLEAN-R007</x:v>
      </x:c>
      <x:c r="B7" s="9" t="str">
        <x:v>clean_relation</x:v>
      </x:c>
      <x:c r="C7" s="9" t="str">
        <x:v>R007</x:v>
      </x:c>
      <x:c r="D7" s="9" t="str">
        <x:v>A013; A014</x:v>
      </x:c>
      <x:c r="E7" s="9" t="str"/>
      <x:c r="F7" s="9" t="str">
        <x:v>举例</x:v>
      </x:c>
      <x:c r="G7" s="9" t="str">
        <x:v>无</x:v>
      </x:c>
      <x:c r="H7" s="9" t="str"/>
      <x:c r="I7" s="9" t="str"/>
      <x:c r="J7" s="9" t="str">
        <x:v>A014是A013的具体举例，展示了从SGD迁移到Adam时随剪枝比例变化而出现的具体行为差异。</x:v>
      </x:c>
      <x:c r="K7" s="9" t="str">
        <x:v>否</x:v>
      </x:c>
      <x:c r="L7" s="9" t="str">
        <x:v>source conclusions: paper:867771291879342656::conclusion_3</x:v>
      </x:c>
    </x:row>
    <x:row r="8" ht="52" customHeight="1">
      <x:c r="A8" s="9" t="str">
        <x:v>OTWTA-REL-CLEAN-R008</x:v>
      </x:c>
      <x:c r="B8" s="9" t="str">
        <x:v>clean_relation</x:v>
      </x:c>
      <x:c r="C8" s="9" t="str">
        <x:v>R008</x:v>
      </x:c>
      <x:c r="D8" s="9" t="str">
        <x:v>A016; A017</x:v>
      </x:c>
      <x:c r="E8" s="9" t="str"/>
      <x:c r="F8" s="9" t="str">
        <x:v>矛盾</x:v>
      </x:c>
      <x:c r="G8" s="9" t="str">
        <x:v>无</x:v>
      </x:c>
      <x:c r="H8" s="9" t="str"/>
      <x:c r="I8" s="9" t="str"/>
      <x:c r="J8" s="9" t="str">
        <x:v>A017所描述的ResNet50在低剪枝比例下的例外表现，与A016中“该分布内迁移在两种架构上都成立”的一般性论断存在张力。</x:v>
      </x:c>
      <x:c r="K8" s="9" t="str">
        <x:v>否</x:v>
      </x:c>
      <x:c r="L8" s="9" t="str">
        <x:v>source conclusions: paper:867771291879342656::conclusion_4</x:v>
      </x:c>
    </x:row>
    <x:row r="9" ht="52" customHeight="1">
      <x:c r="A9" s="9" t="str">
        <x:v>OTWTA-REL-CLEAN-R009</x:v>
      </x:c>
      <x:c r="B9" s="9" t="str">
        <x:v>clean_relation</x:v>
      </x:c>
      <x:c r="C9" s="9" t="str">
        <x:v>R009</x:v>
      </x:c>
      <x:c r="D9" s="9" t="str">
        <x:v>A021; A020</x:v>
      </x:c>
      <x:c r="E9" s="9" t="str"/>
      <x:c r="F9" s="9" t="str">
        <x:v>推出</x:v>
      </x:c>
      <x:c r="G9" s="9" t="str">
        <x:v>演绎</x:v>
      </x:c>
      <x:c r="H9" s="9" t="str"/>
      <x:c r="I9" s="9" t="str"/>
      <x:c r="J9" s="9" t="str">
        <x:v>A021所描述的实验结果——局部置换中奖彩票掩码只造成中等程度的性能下降，而全局置换则造成大幅下降——推出A020的论断，即剪枝掩码的结构本身包含对训练稀疏网络有用的重要信息。</x:v>
      </x:c>
      <x:c r="K9" s="9" t="str">
        <x:v>否</x:v>
      </x:c>
      <x:c r="L9" s="9" t="str">
        <x:v>source conclusions: paper:867771291879342656::conclusion_6</x:v>
      </x:c>
    </x:row>
    <x:row r="10" ht="52" customHeight="1">
      <x:c r="A10" s="9" t="str">
        <x:v>OTWTA-REL-CLEAN-R010</x:v>
      </x:c>
      <x:c r="B10" s="9" t="str">
        <x:v>clean_relation</x:v>
      </x:c>
      <x:c r="C10" s="9" t="str">
        <x:v>R010</x:v>
      </x:c>
      <x:c r="D10" s="9" t="str">
        <x:v>A020; A022</x:v>
      </x:c>
      <x:c r="E10" s="9" t="str"/>
      <x:c r="F10" s="9" t="str">
        <x:v>推出</x:v>
      </x:c>
      <x:c r="G10" s="9" t="str">
        <x:v>溯因</x:v>
      </x:c>
      <x:c r="H10" s="9" t="str"/>
      <x:c r="I10" s="9" t="str"/>
      <x:c r="J10" s="9" t="str">
        <x:v>A020所描述的针对VGG19/CIFAR-10的具体实验发现，通过溯因推理被推广为A022的一般性论断——即剪枝掩码的结构本身包含对训练稀疏网络有用的重要信息。</x:v>
      </x:c>
      <x:c r="K10" s="9" t="str">
        <x:v>否</x:v>
      </x:c>
      <x:c r="L10" s="9" t="str">
        <x:v>source conclusions: paper:867771291879342656::conclusion_6</x:v>
      </x:c>
    </x:row>
    <x:row r="11" ht="52" customHeight="1">
      <x:c r="A11" s="9" t="str">
        <x:v>OTWTA-REL-CLEAN-R011</x:v>
      </x:c>
      <x:c r="B11" s="9" t="str">
        <x:v>clean_relation</x:v>
      </x:c>
      <x:c r="C11" s="9" t="str">
        <x:v>R011</x:v>
      </x:c>
      <x:c r="D11" s="9" t="str">
        <x:v>A022; A023</x:v>
      </x:c>
      <x:c r="E11" s="9" t="str"/>
      <x:c r="F11" s="9" t="str">
        <x:v>推出</x:v>
      </x:c>
      <x:c r="G11" s="9" t="str">
        <x:v>演绎</x:v>
      </x:c>
      <x:c r="H11" s="9" t="str"/>
      <x:c r="I11" s="9" t="str"/>
      <x:c r="J11" s="9" t="str">
        <x:v>A022（剪枝掩码结构包含重要信息）通过演绎推理得出A023——跨层保留掩码统计信息会将已发现彩票中的信息迁移过去。</x:v>
      </x:c>
      <x:c r="K11" s="9" t="str">
        <x:v>否</x:v>
      </x:c>
      <x:c r="L11" s="9" t="str">
        <x:v>source conclusions: paper:867771291879342656::conclusion_6</x:v>
      </x:c>
    </x:row>
    <x:row r="12" ht="52" customHeight="1">
      <x:c r="A12" s="9" t="str">
        <x:v>OTWTA-REL-CLEAN-R012</x:v>
      </x:c>
      <x:c r="B12" s="9" t="str">
        <x:v>clean_relation</x:v>
      </x:c>
      <x:c r="C12" s="9" t="str">
        <x:v>R012</x:v>
      </x:c>
      <x:c r="D12" s="9" t="str">
        <x:v>A023; A024</x:v>
      </x:c>
      <x:c r="E12" s="9" t="str"/>
      <x:c r="F12" s="9" t="str">
        <x:v>推出</x:v>
      </x:c>
      <x:c r="G12" s="9" t="str">
        <x:v>演绎</x:v>
      </x:c>
      <x:c r="H12" s="9" t="str"/>
      <x:c r="I12" s="9" t="str"/>
      <x:c r="J12" s="9" t="str">
        <x:v>A023所描述的机制——跨层保留掩码统计信息会迁移已发现彩票的信息——通过演绎推理得出A024的论断，即公平的“随机彩票”基线应当同时随机化权重值和掩码结构。</x:v>
      </x:c>
      <x:c r="K12" s="9" t="str">
        <x:v>否</x:v>
      </x:c>
      <x:c r="L12" s="9" t="str">
        <x:v>source conclusions: paper:867771291879342656::conclusion_6</x:v>
      </x:c>
    </x:row>
    <x:row r="13" ht="52" customHeight="1">
      <x:c r="A13" s="9" t="str">
        <x:v>OTWTA-REL-GRAPH-E001</x:v>
      </x:c>
      <x:c r="B13" s="9" t="str">
        <x:v>graph_edge</x:v>
      </x:c>
      <x:c r="C13" s="9" t="str">
        <x:v>edge_1</x:v>
      </x:c>
      <x:c r="D13" s="9" t="str">
        <x:v>paper:867771291879342656::conclusion_1_subproblem [OTWTA-Q-C01]</x:v>
      </x:c>
      <x:c r="E13" s="9" t="str">
        <x:v>paper:867771291879342656::conclusion_1 [OTWTA-GCON-C01]</x:v>
      </x:c>
      <x:c r="F13" s="9" t="str">
        <x:v>subproblem_of</x:v>
      </x:c>
      <x:c r="G13" s="9" t="str"/>
      <x:c r="H13" s="9" t="str"/>
      <x:c r="I13" s="9" t="str"/>
      <x:c r="J13" s="9" t="str"/>
      <x:c r="K13" s="9" t="str">
        <x:v>否</x:v>
      </x:c>
      <x:c r="L13" s="9" t="str"/>
    </x:row>
    <x:row r="14" ht="52" customHeight="1">
      <x:c r="A14" s="9" t="str">
        <x:v>OTWTA-REL-GRAPH-E002</x:v>
      </x:c>
      <x:c r="B14" s="9" t="str">
        <x:v>graph_edge</x:v>
      </x:c>
      <x:c r="C14" s="9" t="str">
        <x:v>edge_2</x:v>
      </x:c>
      <x:c r="D14" s="9" t="str">
        <x:v>paper:867771291879342656::conclusion_2_subproblem [OTWTA-Q-C02]</x:v>
      </x:c>
      <x:c r="E14" s="9" t="str">
        <x:v>paper:867771291879342656::conclusion_2 [OTWTA-GCON-C02]</x:v>
      </x:c>
      <x:c r="F14" s="9" t="str">
        <x:v>subproblem_of</x:v>
      </x:c>
      <x:c r="G14" s="9" t="str"/>
      <x:c r="H14" s="9" t="str"/>
      <x:c r="I14" s="9" t="str"/>
      <x:c r="J14" s="9" t="str"/>
      <x:c r="K14" s="9" t="str">
        <x:v>否</x:v>
      </x:c>
      <x:c r="L14" s="9" t="str"/>
    </x:row>
    <x:row r="15" ht="52" customHeight="1">
      <x:c r="A15" s="9" t="str">
        <x:v>OTWTA-REL-GRAPH-E003</x:v>
      </x:c>
      <x:c r="B15" s="9" t="str">
        <x:v>graph_edge</x:v>
      </x:c>
      <x:c r="C15" s="9" t="str">
        <x:v>edge_3</x:v>
      </x:c>
      <x:c r="D15" s="9" t="str">
        <x:v>paper:867771291879342656::conclusion_3_subproblem [OTWTA-Q-C03]</x:v>
      </x:c>
      <x:c r="E15" s="9" t="str">
        <x:v>paper:867771291879342656::conclusion_3 [OTWTA-GCON-C03]</x:v>
      </x:c>
      <x:c r="F15" s="9" t="str">
        <x:v>subproblem_of</x:v>
      </x:c>
      <x:c r="G15" s="9" t="str"/>
      <x:c r="H15" s="9" t="str"/>
      <x:c r="I15" s="9" t="str"/>
      <x:c r="J15" s="9" t="str"/>
      <x:c r="K15" s="9" t="str">
        <x:v>否</x:v>
      </x:c>
      <x:c r="L15" s="9" t="str"/>
    </x:row>
    <x:row r="16" ht="52" customHeight="1">
      <x:c r="A16" s="9" t="str">
        <x:v>OTWTA-REL-GRAPH-E004</x:v>
      </x:c>
      <x:c r="B16" s="9" t="str">
        <x:v>graph_edge</x:v>
      </x:c>
      <x:c r="C16" s="9" t="str">
        <x:v>edge_4</x:v>
      </x:c>
      <x:c r="D16" s="9" t="str">
        <x:v>paper:867771291879342656::conclusion_4_subproblem [OTWTA-Q-C04]</x:v>
      </x:c>
      <x:c r="E16" s="9" t="str">
        <x:v>paper:867771291879342656::conclusion_4 [OTWTA-GCON-C04]</x:v>
      </x:c>
      <x:c r="F16" s="9" t="str">
        <x:v>subproblem_of</x:v>
      </x:c>
      <x:c r="G16" s="9" t="str"/>
      <x:c r="H16" s="9" t="str"/>
      <x:c r="I16" s="9" t="str"/>
      <x:c r="J16" s="9" t="str"/>
      <x:c r="K16" s="9" t="str">
        <x:v>否</x:v>
      </x:c>
      <x:c r="L16" s="9" t="str"/>
    </x:row>
    <x:row r="17" ht="52" customHeight="1">
      <x:c r="A17" s="9" t="str">
        <x:v>OTWTA-REL-GRAPH-E005</x:v>
      </x:c>
      <x:c r="B17" s="9" t="str">
        <x:v>graph_edge</x:v>
      </x:c>
      <x:c r="C17" s="9" t="str">
        <x:v>edge_5</x:v>
      </x:c>
      <x:c r="D17" s="9" t="str">
        <x:v>paper:867771291879342656::conclusion_5_subproblem [OTWTA-Q-C05]</x:v>
      </x:c>
      <x:c r="E17" s="9" t="str">
        <x:v>paper:867771291879342656::conclusion_5 [OTWTA-GCON-C05]</x:v>
      </x:c>
      <x:c r="F17" s="9" t="str">
        <x:v>subproblem_of</x:v>
      </x:c>
      <x:c r="G17" s="9" t="str"/>
      <x:c r="H17" s="9" t="str"/>
      <x:c r="I17" s="9" t="str"/>
      <x:c r="J17" s="9" t="str"/>
      <x:c r="K17" s="9" t="str">
        <x:v>否</x:v>
      </x:c>
      <x:c r="L17" s="9" t="str"/>
    </x:row>
    <x:row r="18" ht="52" customHeight="1">
      <x:c r="A18" s="9" t="str">
        <x:v>OTWTA-REL-GRAPH-E006</x:v>
      </x:c>
      <x:c r="B18" s="9" t="str">
        <x:v>graph_edge</x:v>
      </x:c>
      <x:c r="C18" s="9" t="str">
        <x:v>edge_6</x:v>
      </x:c>
      <x:c r="D18" s="9" t="str">
        <x:v>paper:867771291879342656::conclusion_6_subproblem [OTWTA-Q-C06]</x:v>
      </x:c>
      <x:c r="E18" s="9" t="str">
        <x:v>paper:867771291879342656::conclusion_6 [OTWTA-GCON-C06]</x:v>
      </x:c>
      <x:c r="F18" s="9" t="str">
        <x:v>subproblem_of</x:v>
      </x:c>
      <x:c r="G18" s="9" t="str"/>
      <x:c r="H18" s="9" t="str"/>
      <x:c r="I18" s="9" t="str"/>
      <x:c r="J18" s="9" t="str"/>
      <x:c r="K18" s="9" t="str">
        <x:v>否</x:v>
      </x:c>
      <x:c r="L18" s="9" t="str"/>
    </x:row>
    <x:row r="19" ht="52" customHeight="1">
      <x:c r="A19" s="9" t="str">
        <x:v>OTWTA-REL-GRAPH-E007</x:v>
      </x:c>
      <x:c r="B19" s="9" t="str">
        <x:v>graph_edge</x:v>
      </x:c>
      <x:c r="C19" s="9" t="str">
        <x:v>edge_7</x:v>
      </x:c>
      <x:c r="D19" s="9" t="str">
        <x:v>paper:867771291879342656::conclusion_7_subproblem [OTWTA-Q-C07]</x:v>
      </x:c>
      <x:c r="E19" s="9" t="str">
        <x:v>paper:867771291879342656::conclusion_7 [OTWTA-GCON-C07]</x:v>
      </x:c>
      <x:c r="F19" s="9" t="str">
        <x:v>subproblem_of</x:v>
      </x:c>
      <x:c r="G19" s="9" t="str"/>
      <x:c r="H19" s="9" t="str"/>
      <x:c r="I19" s="9" t="str"/>
      <x:c r="J19" s="9" t="str"/>
      <x:c r="K19" s="9" t="str">
        <x:v>否</x:v>
      </x:c>
      <x:c r="L19" s="9" t="str"/>
    </x:row>
    <x:row r="20" ht="52" customHeight="1">
      <x:c r="A20" s="9" t="str">
        <x:v>OTWTA-REL-GRAPH-E008</x:v>
      </x:c>
      <x:c r="B20" s="9" t="str">
        <x:v>graph_edge</x:v>
      </x:c>
      <x:c r="C20" s="9" t="str">
        <x:v>edge_8</x:v>
      </x:c>
      <x:c r="D20" s="9" t="str">
        <x:v>paper:867771291879342656::P1 [OTWTA-WP-P01]</x:v>
      </x:c>
      <x:c r="E20" s="9" t="str">
        <x:v>lfac_cb96d1b77e42b35b [OTWTA-FAC-C02]</x:v>
      </x:c>
      <x:c r="F20" s="9" t="str">
        <x:v>weakpoint_of</x:v>
      </x:c>
      <x:c r="G20" s="9" t="str"/>
      <x:c r="H20" s="9" t="n">
        <x:v>0.3</x:v>
      </x:c>
      <x:c r="I20" s="9" t="n">
        <x:v>0.7</x:v>
      </x:c>
      <x:c r="J20" s="9" t="str"/>
      <x:c r="K20" s="9" t="str">
        <x:v>否</x:v>
      </x:c>
      <x:c r="L20" s="9" t="str"/>
    </x:row>
    <x:row r="21" ht="52" customHeight="1">
      <x:c r="A21" s="9" t="str">
        <x:v>OTWTA-REL-GRAPH-E009</x:v>
      </x:c>
      <x:c r="B21" s="9" t="str">
        <x:v>graph_edge</x:v>
      </x:c>
      <x:c r="C21" s="9" t="str">
        <x:v>edge_9</x:v>
      </x:c>
      <x:c r="D21" s="9" t="str">
        <x:v>paper:867771291879342656::P2 [OTWTA-WP-P02]</x:v>
      </x:c>
      <x:c r="E21" s="9" t="str">
        <x:v>lfac_666bfce3ddeaaf51 [OTWTA-FAC-C03]</x:v>
      </x:c>
      <x:c r="F21" s="9" t="str">
        <x:v>weakpoint_of</x:v>
      </x:c>
      <x:c r="G21" s="9" t="str"/>
      <x:c r="H21" s="9" t="n">
        <x:v>0.4</x:v>
      </x:c>
      <x:c r="I21" s="9" t="n">
        <x:v>0.8</x:v>
      </x:c>
      <x:c r="J21" s="9" t="str"/>
      <x:c r="K21" s="9" t="str">
        <x:v>否</x:v>
      </x:c>
      <x:c r="L21" s="9" t="str"/>
    </x:row>
    <x:row r="22" ht="52" customHeight="1">
      <x:c r="A22" s="9" t="str">
        <x:v>OTWTA-REL-GRAPH-E010</x:v>
      </x:c>
      <x:c r="B22" s="9" t="str">
        <x:v>graph_edge</x:v>
      </x:c>
      <x:c r="C22" s="9" t="str">
        <x:v>edge_10</x:v>
      </x:c>
      <x:c r="D22" s="9" t="str">
        <x:v>paper:867771291879342656::P3 [OTWTA-WP-P03]</x:v>
      </x:c>
      <x:c r="E22" s="9" t="str">
        <x:v>lfac_745c4fd9e6ca523f [OTWTA-FAC-C04]</x:v>
      </x:c>
      <x:c r="F22" s="9" t="str">
        <x:v>weakpoint_of</x:v>
      </x:c>
      <x:c r="G22" s="9" t="str"/>
      <x:c r="H22" s="9" t="n">
        <x:v>0.3</x:v>
      </x:c>
      <x:c r="I22" s="9" t="n">
        <x:v>0.8</x:v>
      </x:c>
      <x:c r="J22" s="9" t="str"/>
      <x:c r="K22" s="9" t="str">
        <x:v>否</x:v>
      </x:c>
      <x:c r="L22" s="9" t="str"/>
    </x:row>
    <x:row r="23" ht="52" customHeight="1">
      <x:c r="A23" s="9" t="str">
        <x:v>OTWTA-REL-GRAPH-E011</x:v>
      </x:c>
      <x:c r="B23" s="9" t="str">
        <x:v>graph_edge</x:v>
      </x:c>
      <x:c r="C23" s="9" t="str">
        <x:v>edge_11</x:v>
      </x:c>
      <x:c r="D23" s="9" t="str">
        <x:v>paper:867771291879342656::P4 [OTWTA-WP-P04]</x:v>
      </x:c>
      <x:c r="E23" s="9" t="str">
        <x:v>lfac_58096a5ebe94e02b [OTWTA-FAC-C05]</x:v>
      </x:c>
      <x:c r="F23" s="9" t="str">
        <x:v>weakpoint_of</x:v>
      </x:c>
      <x:c r="G23" s="9" t="str"/>
      <x:c r="H23" s="9" t="n">
        <x:v>0.5</x:v>
      </x:c>
      <x:c r="I23" s="9" t="n">
        <x:v>0.7</x:v>
      </x:c>
      <x:c r="J23" s="9" t="str"/>
      <x:c r="K23" s="9" t="str">
        <x:v>否</x:v>
      </x:c>
      <x:c r="L23" s="9" t="str"/>
    </x:row>
    <x:row r="24" ht="52" customHeight="1">
      <x:c r="A24" s="9" t="str">
        <x:v>OTWTA-REL-GRAPH-E012</x:v>
      </x:c>
      <x:c r="B24" s="9" t="str">
        <x:v>graph_edge</x:v>
      </x:c>
      <x:c r="C24" s="9" t="str">
        <x:v>edge_12</x:v>
      </x:c>
      <x:c r="D24" s="9" t="str">
        <x:v>paper:867771291879342656::P5 [OTWTA-WP-P05]</x:v>
      </x:c>
      <x:c r="E24" s="9" t="str">
        <x:v>lfac_c6ff5645cff61bd7 [OTWTA-FAC-C06]</x:v>
      </x:c>
      <x:c r="F24" s="9" t="str">
        <x:v>weakpoint_of</x:v>
      </x:c>
      <x:c r="G24" s="9" t="str"/>
      <x:c r="H24" s="9" t="n">
        <x:v>0.4</x:v>
      </x:c>
      <x:c r="I24" s="9" t="n">
        <x:v>0.6</x:v>
      </x:c>
      <x:c r="J24" s="9" t="str"/>
      <x:c r="K24" s="9" t="str">
        <x:v>否</x:v>
      </x:c>
      <x:c r="L24" s="9" t="str"/>
    </x:row>
    <x:row r="25" ht="52" customHeight="1">
      <x:c r="A25" s="9" t="str">
        <x:v>OTWTA-REL-GRAPH-E013</x:v>
      </x:c>
      <x:c r="B25" s="9" t="str">
        <x:v>graph_edge</x:v>
      </x:c>
      <x:c r="C25" s="9" t="str">
        <x:v>edge_13</x:v>
      </x:c>
      <x:c r="D25" s="9" t="str">
        <x:v>paper:867771291879342656::H1 [OTWTA-OBS-H01]</x:v>
      </x:c>
      <x:c r="E25" s="9" t="str">
        <x:v>lfac_38ad8d064f6577f1 [OTWTA-FAC-C01]</x:v>
      </x:c>
      <x:c r="F25" s="9" t="str">
        <x:v>highlight_of</x:v>
      </x:c>
      <x:c r="G25" s="9" t="str"/>
      <x:c r="H25" s="9" t="str"/>
      <x:c r="I25" s="9" t="str"/>
      <x:c r="J25" s="9" t="str"/>
      <x:c r="K25" s="9" t="str">
        <x:v>否</x:v>
      </x:c>
      <x:c r="L25" s="9" t="str"/>
    </x:row>
    <x:row r="26" ht="52" customHeight="1">
      <x:c r="A26" s="9" t="str">
        <x:v>OTWTA-REL-GRAPH-E014</x:v>
      </x:c>
      <x:c r="B26" s="9" t="str">
        <x:v>graph_edge</x:v>
      </x:c>
      <x:c r="C26" s="9" t="str">
        <x:v>edge_14</x:v>
      </x:c>
      <x:c r="D26" s="9" t="str">
        <x:v>paper:867771291879342656::H2 [OTWTA-OBS-H02]</x:v>
      </x:c>
      <x:c r="E26" s="9" t="str">
        <x:v>lfac_38ad8d064f6577f1 [OTWTA-FAC-C01]</x:v>
      </x:c>
      <x:c r="F26" s="9" t="str">
        <x:v>highlight_of</x:v>
      </x:c>
      <x:c r="G26" s="9" t="str"/>
      <x:c r="H26" s="9" t="str"/>
      <x:c r="I26" s="9" t="str"/>
      <x:c r="J26" s="9" t="str"/>
      <x:c r="K26" s="9" t="str">
        <x:v>否</x:v>
      </x:c>
      <x:c r="L26" s="9" t="str"/>
    </x:row>
    <x:row r="27" ht="52" customHeight="1">
      <x:c r="A27" s="9" t="str">
        <x:v>OTWTA-REL-GRAPH-E015</x:v>
      </x:c>
      <x:c r="B27" s="9" t="str">
        <x:v>graph_edge</x:v>
      </x:c>
      <x:c r="C27" s="9" t="str">
        <x:v>edge_15</x:v>
      </x:c>
      <x:c r="D27" s="9" t="str">
        <x:v>paper:867771291879342656::H3 [OTWTA-OBS-H03]</x:v>
      </x:c>
      <x:c r="E27" s="9" t="str">
        <x:v>lfac_cb96d1b77e42b35b [OTWTA-FAC-C02]</x:v>
      </x:c>
      <x:c r="F27" s="9" t="str">
        <x:v>highlight_of</x:v>
      </x:c>
      <x:c r="G27" s="9" t="str"/>
      <x:c r="H27" s="9" t="str"/>
      <x:c r="I27" s="9" t="str"/>
      <x:c r="J27" s="9" t="str"/>
      <x:c r="K27" s="9" t="str">
        <x:v>否</x:v>
      </x:c>
      <x:c r="L27" s="9" t="str"/>
    </x:row>
    <x:row r="28" ht="52" customHeight="1">
      <x:c r="A28" s="9" t="str">
        <x:v>OTWTA-REL-GRAPH-E016</x:v>
      </x:c>
      <x:c r="B28" s="9" t="str">
        <x:v>graph_edge</x:v>
      </x:c>
      <x:c r="C28" s="9" t="str">
        <x:v>edge_16</x:v>
      </x:c>
      <x:c r="D28" s="9" t="str">
        <x:v>paper:867771291879342656::H4 [OTWTA-OBS-H04]</x:v>
      </x:c>
      <x:c r="E28" s="9" t="str">
        <x:v>lfac_666bfce3ddeaaf51 [OTWTA-FAC-C03]</x:v>
      </x:c>
      <x:c r="F28" s="9" t="str">
        <x:v>highlight_of</x:v>
      </x:c>
      <x:c r="G28" s="9" t="str"/>
      <x:c r="H28" s="9" t="str"/>
      <x:c r="I28" s="9" t="str"/>
      <x:c r="J28" s="9" t="str"/>
      <x:c r="K28" s="9" t="str">
        <x:v>否</x:v>
      </x:c>
      <x:c r="L28" s="9" t="str"/>
    </x:row>
    <x:row r="29" ht="52" customHeight="1">
      <x:c r="A29" s="9" t="str">
        <x:v>OTWTA-REL-GRAPH-E017</x:v>
      </x:c>
      <x:c r="B29" s="9" t="str">
        <x:v>graph_edge</x:v>
      </x:c>
      <x:c r="C29" s="9" t="str">
        <x:v>edge_17</x:v>
      </x:c>
      <x:c r="D29" s="9" t="str">
        <x:v>paper:867771291879342656::H5 [OTWTA-OBS-H05]</x:v>
      </x:c>
      <x:c r="E29" s="9" t="str">
        <x:v>lfac_745c4fd9e6ca523f [OTWTA-FAC-C04]</x:v>
      </x:c>
      <x:c r="F29" s="9" t="str">
        <x:v>highlight_of</x:v>
      </x:c>
      <x:c r="G29" s="9" t="str"/>
      <x:c r="H29" s="9" t="str"/>
      <x:c r="I29" s="9" t="str"/>
      <x:c r="J29" s="9" t="str"/>
      <x:c r="K29" s="9" t="str">
        <x:v>否</x:v>
      </x:c>
      <x:c r="L29" s="9" t="str"/>
    </x:row>
    <x:row r="30" ht="52" customHeight="1">
      <x:c r="A30" s="9" t="str">
        <x:v>OTWTA-REL-GRAPH-E018</x:v>
      </x:c>
      <x:c r="B30" s="9" t="str">
        <x:v>graph_edge</x:v>
      </x:c>
      <x:c r="C30" s="9" t="str">
        <x:v>edge_18</x:v>
      </x:c>
      <x:c r="D30" s="9" t="str">
        <x:v>paper:867771291879342656::H6 [OTWTA-OBS-H06]</x:v>
      </x:c>
      <x:c r="E30" s="9" t="str">
        <x:v>lfac_58096a5ebe94e02b [OTWTA-FAC-C05]</x:v>
      </x:c>
      <x:c r="F30" s="9" t="str">
        <x:v>highlight_of</x:v>
      </x:c>
      <x:c r="G30" s="9" t="str"/>
      <x:c r="H30" s="9" t="str"/>
      <x:c r="I30" s="9" t="str"/>
      <x:c r="J30" s="9" t="str"/>
      <x:c r="K30" s="9" t="str">
        <x:v>否</x:v>
      </x:c>
      <x:c r="L30" s="9" t="str"/>
    </x:row>
    <x:row r="31" ht="52" customHeight="1">
      <x:c r="A31" s="9" t="str">
        <x:v>OTWTA-REL-GRAPH-E019</x:v>
      </x:c>
      <x:c r="B31" s="9" t="str">
        <x:v>graph_edge</x:v>
      </x:c>
      <x:c r="C31" s="9" t="str">
        <x:v>edge_19</x:v>
      </x:c>
      <x:c r="D31" s="9" t="str">
        <x:v>paper:867771291879342656::H7 [OTWTA-OBS-H07]</x:v>
      </x:c>
      <x:c r="E31" s="9" t="str">
        <x:v>lfac_c6ff5645cff61bd7 [OTWTA-FAC-C06]</x:v>
      </x:c>
      <x:c r="F31" s="9" t="str">
        <x:v>highlight_of</x:v>
      </x:c>
      <x:c r="G31" s="9" t="str"/>
      <x:c r="H31" s="9" t="str"/>
      <x:c r="I31" s="9" t="str"/>
      <x:c r="J31" s="9" t="str"/>
      <x:c r="K31" s="9" t="str">
        <x:v>否</x:v>
      </x:c>
      <x:c r="L31" s="9" t="str"/>
    </x:row>
    <x:row r="32" ht="52" customHeight="1">
      <x:c r="A32" s="9" t="str">
        <x:v>OTWTA-REL-GRAPH-E020</x:v>
      </x:c>
      <x:c r="B32" s="9" t="str">
        <x:v>graph_edge</x:v>
      </x:c>
      <x:c r="C32" s="9" t="str">
        <x:v>edge_20</x:v>
      </x:c>
      <x:c r="D32" s="9" t="str">
        <x:v>paper:867771291879342656::H8 [OTWTA-OBS-H08]</x:v>
      </x:c>
      <x:c r="E32" s="9" t="str">
        <x:v>lfac_c9fb5d9571d5a824 [OTWTA-FAC-C07]</x:v>
      </x:c>
      <x:c r="F32" s="9" t="str">
        <x:v>highlight_of</x:v>
      </x:c>
      <x:c r="G32" s="9" t="str"/>
      <x:c r="H32" s="9" t="str"/>
      <x:c r="I32" s="9" t="str"/>
      <x:c r="J32" s="9" t="str"/>
      <x:c r="K32" s="9" t="str">
        <x:v>否</x:v>
      </x:c>
      <x:c r="L32" s="9" t="str"/>
    </x:row>
    <x:row r="33" ht="52" customHeight="1">
      <x:c r="A33" s="9" t="str">
        <x:v>OTWTA-REL-GRAPH-E021</x:v>
      </x:c>
      <x:c r="B33" s="9" t="str">
        <x:v>graph_edge</x:v>
      </x:c>
      <x:c r="C33" s="9" t="str">
        <x:v>edge_21</x:v>
      </x:c>
      <x:c r="D33" s="9" t="str">
        <x:v>lfac_38ad8d064f6577f1 [OTWTA-FAC-C01]</x:v>
      </x:c>
      <x:c r="E33" s="9" t="str">
        <x:v>paper:867771291879342656::conclusion_1 [OTWTA-GCON-C01]</x:v>
      </x:c>
      <x:c r="F33" s="9" t="str">
        <x:v>concludes</x:v>
      </x:c>
      <x:c r="G33" s="9" t="str"/>
      <x:c r="H33" s="9" t="str"/>
      <x:c r="I33" s="9" t="str"/>
      <x:c r="J33" s="9" t="str"/>
      <x:c r="K33" s="9" t="str">
        <x:v>否</x:v>
      </x:c>
      <x:c r="L33" s="9" t="str"/>
    </x:row>
    <x:row r="34" ht="52" customHeight="1">
      <x:c r="A34" s="9" t="str">
        <x:v>OTWTA-REL-GRAPH-E022</x:v>
      </x:c>
      <x:c r="B34" s="9" t="str">
        <x:v>graph_edge</x:v>
      </x:c>
      <x:c r="C34" s="9" t="str">
        <x:v>edge_22</x:v>
      </x:c>
      <x:c r="D34" s="9" t="str">
        <x:v>lfac_58096a5ebe94e02b [OTWTA-FAC-C05]</x:v>
      </x:c>
      <x:c r="E34" s="9" t="str">
        <x:v>paper:867771291879342656::conclusion_5 [OTWTA-GCON-C05]</x:v>
      </x:c>
      <x:c r="F34" s="9" t="str">
        <x:v>concludes</x:v>
      </x:c>
      <x:c r="G34" s="9" t="str"/>
      <x:c r="H34" s="9" t="str"/>
      <x:c r="I34" s="9" t="str"/>
      <x:c r="J34" s="9" t="str"/>
      <x:c r="K34" s="9" t="str">
        <x:v>否</x:v>
      </x:c>
      <x:c r="L34" s="9" t="str"/>
    </x:row>
    <x:row r="35" ht="52" customHeight="1">
      <x:c r="A35" s="9" t="str">
        <x:v>OTWTA-REL-GRAPH-E023</x:v>
      </x:c>
      <x:c r="B35" s="9" t="str">
        <x:v>graph_edge</x:v>
      </x:c>
      <x:c r="C35" s="9" t="str">
        <x:v>edge_23</x:v>
      </x:c>
      <x:c r="D35" s="9" t="str">
        <x:v>lfac_666bfce3ddeaaf51 [OTWTA-FAC-C03]</x:v>
      </x:c>
      <x:c r="E35" s="9" t="str">
        <x:v>paper:867771291879342656::conclusion_3 [OTWTA-GCON-C03]</x:v>
      </x:c>
      <x:c r="F35" s="9" t="str">
        <x:v>concludes</x:v>
      </x:c>
      <x:c r="G35" s="9" t="str"/>
      <x:c r="H35" s="9" t="str"/>
      <x:c r="I35" s="9" t="str"/>
      <x:c r="J35" s="9" t="str"/>
      <x:c r="K35" s="9" t="str">
        <x:v>否</x:v>
      </x:c>
      <x:c r="L35" s="9" t="str"/>
    </x:row>
    <x:row r="36" ht="52" customHeight="1">
      <x:c r="A36" s="9" t="str">
        <x:v>OTWTA-REL-GRAPH-E024</x:v>
      </x:c>
      <x:c r="B36" s="9" t="str">
        <x:v>graph_edge</x:v>
      </x:c>
      <x:c r="C36" s="9" t="str">
        <x:v>edge_24</x:v>
      </x:c>
      <x:c r="D36" s="9" t="str">
        <x:v>lfac_745c4fd9e6ca523f [OTWTA-FAC-C04]</x:v>
      </x:c>
      <x:c r="E36" s="9" t="str">
        <x:v>paper:867771291879342656::conclusion_4 [OTWTA-GCON-C04]</x:v>
      </x:c>
      <x:c r="F36" s="9" t="str">
        <x:v>concludes</x:v>
      </x:c>
      <x:c r="G36" s="9" t="str"/>
      <x:c r="H36" s="9" t="str"/>
      <x:c r="I36" s="9" t="str"/>
      <x:c r="J36" s="9" t="str"/>
      <x:c r="K36" s="9" t="str">
        <x:v>否</x:v>
      </x:c>
      <x:c r="L36" s="9" t="str"/>
    </x:row>
    <x:row r="37" ht="52" customHeight="1">
      <x:c r="A37" s="9" t="str">
        <x:v>OTWTA-REL-GRAPH-E025</x:v>
      </x:c>
      <x:c r="B37" s="9" t="str">
        <x:v>graph_edge</x:v>
      </x:c>
      <x:c r="C37" s="9" t="str">
        <x:v>edge_25</x:v>
      </x:c>
      <x:c r="D37" s="9" t="str">
        <x:v>lfac_c6ff5645cff61bd7 [OTWTA-FAC-C06]</x:v>
      </x:c>
      <x:c r="E37" s="9" t="str">
        <x:v>paper:867771291879342656::conclusion_6 [OTWTA-GCON-C06]</x:v>
      </x:c>
      <x:c r="F37" s="9" t="str">
        <x:v>concludes</x:v>
      </x:c>
      <x:c r="G37" s="9" t="str"/>
      <x:c r="H37" s="9" t="str"/>
      <x:c r="I37" s="9" t="str"/>
      <x:c r="J37" s="9" t="str"/>
      <x:c r="K37" s="9" t="str">
        <x:v>否</x:v>
      </x:c>
      <x:c r="L37" s="9" t="str"/>
    </x:row>
    <x:row r="38" ht="52" customHeight="1">
      <x:c r="A38" s="9" t="str">
        <x:v>OTWTA-REL-GRAPH-E026</x:v>
      </x:c>
      <x:c r="B38" s="9" t="str">
        <x:v>graph_edge</x:v>
      </x:c>
      <x:c r="C38" s="9" t="str">
        <x:v>edge_26</x:v>
      </x:c>
      <x:c r="D38" s="9" t="str">
        <x:v>lfac_c9fb5d9571d5a824 [OTWTA-FAC-C07]</x:v>
      </x:c>
      <x:c r="E38" s="9" t="str">
        <x:v>paper:867771291879342656::conclusion_7 [OTWTA-GCON-C07]</x:v>
      </x:c>
      <x:c r="F38" s="9" t="str">
        <x:v>concludes</x:v>
      </x:c>
      <x:c r="G38" s="9" t="str"/>
      <x:c r="H38" s="9" t="str"/>
      <x:c r="I38" s="9" t="str"/>
      <x:c r="J38" s="9" t="str"/>
      <x:c r="K38" s="9" t="str">
        <x:v>否</x:v>
      </x:c>
      <x:c r="L38" s="9" t="str"/>
    </x:row>
    <x:row r="39" ht="52" customHeight="1">
      <x:c r="A39" s="10" t="str">
        <x:v>OTWTA-REL-GRAPH-E027</x:v>
      </x:c>
      <x:c r="B39" s="10" t="str">
        <x:v>graph_edge</x:v>
      </x:c>
      <x:c r="C39" s="10" t="str">
        <x:v>edge_27</x:v>
      </x:c>
      <x:c r="D39" s="10" t="str">
        <x:v>lfac_cb96d1b77e42b35b [OTWTA-FAC-C02]</x:v>
      </x:c>
      <x:c r="E39" s="10" t="str">
        <x:v>paper:867771291879342656::conclusion_2 [OTWTA-GCON-C02]</x:v>
      </x:c>
      <x:c r="F39" s="10" t="str">
        <x:v>concludes</x:v>
      </x:c>
      <x:c r="G39" s="10" t="str"/>
      <x:c r="H39" s="10" t="str"/>
      <x:c r="I39" s="10" t="str"/>
      <x:c r="J39" s="10" t="str"/>
      <x:c r="K39" s="10" t="str">
        <x:v>否</x:v>
      </x:c>
      <x:c r="L39" s="10" t="str"/>
    </x:row>
  </x:sheetData>
  <x:dataValidations count="1">
    <x:dataValidation type="list" sqref="K2:K39">
      <x:formula1>"否,部分,是"</x:formula1>
    </x:dataValidation>
  </x:dataValidations>
  <x:pageMargins left="0.7" right="0.7" top="0.75" bottom="0.75" header="0.3" footer="0.3"/>
  <x:tableParts count="1">
    <x:tablePart xmlns:r="http://schemas.openxmlformats.org/officeDocument/2006/relationships" r:id="R8285020c29914f3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72" hidden="0" customWidth="1"/>
    <x:col min="3" max="3" width="62" hidden="0" customWidth="1"/>
    <x:col min="4" max="4" width="48" hidden="0" customWidth="1"/>
    <x:col min="5" max="5" width="30" hidden="0" customWidth="1"/>
    <x:col min="6" max="6" width="52" hidden="0" customWidth="1"/>
  </x:cols>
  <x:sheetData>
    <x:row r="1" ht="32" customHeight="1">
      <x:c r="A1" s="7" t="str">
        <x:v>ID</x:v>
      </x:c>
      <x:c r="B1" s="7" t="str">
        <x:v>Text_EN</x:v>
      </x:c>
      <x:c r="C1" s="7" t="str">
        <x:v>Text_ZH</x:v>
      </x:c>
      <x:c r="D1" s="7" t="str">
        <x:v>Source_Conclusion_IDs</x:v>
      </x:c>
      <x:c r="E1" s="7" t="str">
        <x:v>Global_IDs</x:v>
      </x:c>
      <x:c r="F1" s="7" t="str">
        <x:v>JSON_Path</x:v>
      </x:c>
    </x:row>
    <x:row r="2" ht="72" customHeight="1">
      <x:c r="A2" s="8" t="str">
        <x:v>A001</x:v>
      </x:c>
      <x:c r="B2" s="8" t="str">
        <x:v>Winning-ticket initializations discovered by iterative magnitude pruning (iterative pruning rate 0.2, up to 30 pruning iterations; late resetting to early training iterations) on large, complex natural-image source datasets produce sparse initializations that, when used to train a VGG19 or ResNet50 architecture on other natural-image target datasets, frequently achieve test accuracies on the target tasks that are close to the accuracies obtained by winning tickets discovered directly on those target datasets.</x:v>
      </x:c>
      <x:c r="C2" s="8" t="str">
        <x:v>通过迭代量级剪枝（迭代剪枝率为0.2，最多30轮剪枝迭代；采用延迟重置至训练早期的迭代）在大型、复杂的自然图像源数据集上发现的中奖彩票初始化，在用于VGG19或ResNet50架构训练其他自然图像目标数据集时，往往能在目标任务上取得接近于直接在这些目标数据集上发现的中奖彩票所获得的测试准确率。</x:v>
      </x:c>
      <x:c r="D2" s="8" t="str">
        <x:v>paper:867771291879342656::conclusion_1</x:v>
      </x:c>
      <x:c r="E2" s="8" t="str">
        <x:v>gcn_f22fc9a9f36d4b45</x:v>
      </x:c>
      <x:c r="F2" s="8" t="str">
        <x:v>$.assertions[?(@.id=="A001")]</x:v>
      </x:c>
    </x:row>
    <x:row r="3" ht="72" customHeight="1">
      <x:c r="A3" s="9" t="str">
        <x:v>A002</x:v>
      </x:c>
      <x:c r="B3" s="9" t="str">
        <x:v>Winning-ticket initializations discovered by iterative magnitude pruning (iterative pruning rate 0.2, up to 30 pruning iterations; late resetting to early training iterations) on ImageNet and Places365, and to a lesser extent CIFAR-100, produce sparse initializations that, when used to train a VGG19 or ResNet50 architecture on SVHN, Fashion-MNIST, CIFAR-10, CIFAR-100, ImageNet, Places365, frequently achieve test accuracies on the target tasks that are close to the accuracies obtained by winning tickets discovered directly on those target datasets.</x:v>
      </x:c>
      <x:c r="C3" s="9" t="str">
        <x:v>通过迭代量级剪枝（迭代剪枝率为0.2，最多30轮剪枝迭代；采用延迟重置至训练早期的迭代）在ImageNet和Places365、以及在较小程度上的CIFAR-100上发现的中奖彩票初始化，在用于VGG19或ResNet50架构训练SVHN、Fashion-MNIST、CIFAR-10、CIFAR-100、ImageNet、Places365时，往往能在目标任务上取得接近于直接在这些目标数据集上发现的中奖彩票所获得的测试准确率。</x:v>
      </x:c>
      <x:c r="D3" s="9" t="str">
        <x:v>paper:867771291879342656::conclusion_1</x:v>
      </x:c>
      <x:c r="E3" s="9" t="str">
        <x:v>gcn_f22fc9a9f36d4b45</x:v>
      </x:c>
      <x:c r="F3" s="9" t="str">
        <x:v>$.assertions[?(@.id=="A002")]</x:v>
      </x:c>
    </x:row>
    <x:row r="4" ht="72" customHeight="1">
      <x:c r="A4" s="9" t="str">
        <x:v>A003</x:v>
      </x:c>
      <x:c r="B4" s="9" t="str">
        <x:v>The transferability (the phenomenon described by A002) is observed across a wide range of pruning fractions, including very high sparsity.</x:v>
      </x:c>
      <x:c r="C4" s="9" t="str">
        <x:v>这种可迁移性（即A002所描述的现象）在广泛的剪枝比例范围内均可观察到，包括非常高的稀疏度。</x:v>
      </x:c>
      <x:c r="D4" s="9" t="str">
        <x:v>paper:867771291879342656::conclusion_1</x:v>
      </x:c>
      <x:c r="E4" s="9" t="str">
        <x:v>gcn_f22fc9a9f36d4b45</x:v>
      </x:c>
      <x:c r="F4" s="9" t="str">
        <x:v>$.assertions[?(@.id=="A003")]</x:v>
      </x:c>
    </x:row>
    <x:row r="5" ht="72" customHeight="1">
      <x:c r="A5" s="9" t="str">
        <x:v>A006</x:v>
      </x:c>
      <x:c r="B5" s="9" t="str">
        <x:v>Winning tickets discovered on larger source datasets—both in terms of number of training examples and number of output classes—transfer substantially better to other natural-image classification datasets than tickets discovered on smaller source datasets, for both VGG19 and ResNet50 architectures.</x:v>
      </x:c>
      <x:c r="C5" s="9" t="str">
        <x:v>在训练样本数量和输出类别数量上都更大的源数据集上发现的中奖彩票，在VGG19和ResNet50架构下，都能比在更小的源数据集上发现的中奖彩票更好地迁移到其他自然图像分类数据集。</x:v>
      </x:c>
      <x:c r="D5" s="9" t="str">
        <x:v>paper:867771291879342656::conclusion_1; paper:867771291879342656::conclusion_2</x:v>
      </x:c>
      <x:c r="E5" s="9" t="str">
        <x:v>gcn_f22fc9a9f36d4b45; gcn_0fdc65dd973e495e</x:v>
      </x:c>
      <x:c r="F5" s="9" t="str">
        <x:v>$.assertions[?(@.id=="A006")]</x:v>
      </x:c>
    </x:row>
    <x:row r="6" ht="72" customHeight="1">
      <x:c r="A6" s="9" t="str">
        <x:v>A007</x:v>
      </x:c>
      <x:c r="B6" s="9" t="str">
        <x:v>Winning tickets discovered on larger source datasets—both in terms of number of training examples and number of output classes—transfer substantially better to SVHN, Fashion-MNIST, CIFAR-10, CIFAR-100, ImageNet, Places365 than tickets discovered on smaller source datasets, for both VGG19 and ResNet50 architectures.</x:v>
      </x:c>
      <x:c r="C6" s="9" t="str">
        <x:v>在训练样本数量和输出类别数量上都更大的源数据集上发现的中奖彩票，在VGG19和ResNet50架构下，都能比在更小的源数据集上发现的中奖彩票更好地迁移到SVHN、Fashion-MNIST、CIFAR-10、CIFAR-100、ImageNet、Places365。</x:v>
      </x:c>
      <x:c r="D6" s="9" t="str">
        <x:v>paper:867771291879342656::conclusion_1; paper:867771291879342656::conclusion_2</x:v>
      </x:c>
      <x:c r="E6" s="9" t="str">
        <x:v>gcn_f22fc9a9f36d4b45; gcn_0fdc65dd973e495e</x:v>
      </x:c>
      <x:c r="F6" s="9" t="str">
        <x:v>$.assertions[?(@.id=="A007")]</x:v>
      </x:c>
    </x:row>
    <x:row r="7" ht="72" customHeight="1">
      <x:c r="A7" s="9" t="str">
        <x:v>A008</x:v>
      </x:c>
      <x:c r="B7" s="9" t="str">
        <x:v>This effect (the effect described by A006) is not solely explained by raw training-set size.</x:v>
      </x:c>
      <x:c r="C7" s="9" t="str">
        <x:v>这一效应（即A006所描述的效应）并不能仅用原始训练集大小来解释。</x:v>
      </x:c>
      <x:c r="D7" s="9" t="str">
        <x:v>paper:867771291879342656::conclusion_2</x:v>
      </x:c>
      <x:c r="E7" s="9" t="str">
        <x:v>gcn_0fdc65dd973e495e</x:v>
      </x:c>
      <x:c r="F7" s="9" t="str">
        <x:v>$.assertions[?(@.id=="A008")]</x:v>
      </x:c>
    </x:row>
    <x:row r="8" ht="72" customHeight="1">
      <x:c r="A8" s="9" t="str">
        <x:v>A009</x:v>
      </x:c>
      <x:c r="B8" s="9" t="str">
        <x:v>Holding training-set size fixed, a source dataset with many classes produced tickets that generalized better across targets than one with few classes.</x:v>
      </x:c>
      <x:c r="C8" s="9" t="str">
        <x:v>在训练集大小保持不变的情况下，类别数较多的源数据集所产生的中奖彩票，在各目标数据集上的泛化能力优于类别数较少的源数据集。</x:v>
      </x:c>
      <x:c r="D8" s="9" t="str">
        <x:v>paper:867771291879342656::conclusion_1; paper:867771291879342656::conclusion_2</x:v>
      </x:c>
      <x:c r="E8" s="9" t="str">
        <x:v>gcn_f22fc9a9f36d4b45; gcn_0fdc65dd973e495e</x:v>
      </x:c>
      <x:c r="F8" s="9" t="str">
        <x:v>$.assertions[?(@.id=="A009")]</x:v>
      </x:c>
    </x:row>
    <x:row r="9" ht="72" customHeight="1">
      <x:c r="A9" s="9" t="str">
        <x:v>A010</x:v>
      </x:c>
      <x:c r="B9" s="9" t="str">
        <x:v>Holding training-set size fixed, CIFAR-100 (100 classes) produced tickets that generalized better across targets than CIFAR-10 (10 classes).</x:v>
      </x:c>
      <x:c r="C9" s="9" t="str">
        <x:v>在训练集大小保持不变的情况下，CIFAR-100（100个类别）产生的中奖彩票比CIFAR-10（10个类别）产生的中奖彩票在各目标数据集上具有更好的泛化能力。</x:v>
      </x:c>
      <x:c r="D9" s="9" t="str">
        <x:v>paper:867771291879342656::conclusion_1; paper:867771291879342656::conclusion_2</x:v>
      </x:c>
      <x:c r="E9" s="9" t="str">
        <x:v>gcn_f22fc9a9f36d4b45; gcn_0fdc65dd973e495e</x:v>
      </x:c>
      <x:c r="F9" s="9" t="str">
        <x:v>$.assertions[?(@.id=="A010")]</x:v>
      </x:c>
    </x:row>
    <x:row r="10" ht="72" customHeight="1">
      <x:c r="A10" s="9" t="str">
        <x:v>A011</x:v>
      </x:c>
      <x:c r="B10" s="9" t="str">
        <x:v>Winning-ticket initializations generated with one optimizer generalize to training with a different optimizer on natural-image classification datasets.</x:v>
      </x:c>
      <x:c r="C10" s="9" t="str">
        <x:v>用一种优化器生成的中奖彩票初始化，能够泛化到使用另一种优化器在自然图像分类数据集上进行训练的场景。</x:v>
      </x:c>
      <x:c r="D10" s="9" t="str">
        <x:v>paper:867771291879342656::conclusion_3</x:v>
      </x:c>
      <x:c r="E10" s="9" t="str">
        <x:v>gcn_d354352c21724714</x:v>
      </x:c>
      <x:c r="F10" s="9" t="str">
        <x:v>$.assertions[?(@.id=="A011")]</x:v>
      </x:c>
    </x:row>
    <x:row r="11" ht="72" customHeight="1">
      <x:c r="A11" s="9" t="str">
        <x:v>A012</x:v>
      </x:c>
      <x:c r="B11" s="9" t="str">
        <x:v>VGG19 tickets found using SGD with momentum or using Adam, when re-used with the alternate optimizer, achieve high performance that is comparable to tickets discovered under the target optimizer.</x:v>
      </x:c>
      <x:c r="C11" s="9" t="str">
        <x:v>使用带动量的SGD或Adam发现的VGG19中奖彩票，在改用另一种优化器重新使用时，能取得与在目标优化器下直接发现的中奖彩票相当的高性能。</x:v>
      </x:c>
      <x:c r="D11" s="9" t="str">
        <x:v>paper:867771291879342656::conclusion_3</x:v>
      </x:c>
      <x:c r="E11" s="9" t="str">
        <x:v>gcn_d354352c21724714</x:v>
      </x:c>
      <x:c r="F11" s="9" t="str">
        <x:v>$.assertions[?(@.id=="A012")]</x:v>
      </x:c>
    </x:row>
    <x:row r="12" ht="72" customHeight="1">
      <x:c r="A12" s="9" t="str">
        <x:v>A013</x:v>
      </x:c>
      <x:c r="B12" s="9" t="str">
        <x:v>There are optimizer-dependent nuances in behavior (the transfer behavior described by A011).</x:v>
      </x:c>
      <x:c r="C12" s="9" t="str">
        <x:v>在这种（A011所描述的）迁移行为中，存在与优化器相关的细微差异。</x:v>
      </x:c>
      <x:c r="D12" s="9" t="str">
        <x:v>paper:867771291879342656::conclusion_3</x:v>
      </x:c>
      <x:c r="E12" s="9" t="str">
        <x:v>gcn_d354352c21724714</x:v>
      </x:c>
      <x:c r="F12" s="9" t="str">
        <x:v>$.assertions[?(@.id=="A013")]</x:v>
      </x:c>
    </x:row>
    <x:row r="13" ht="72" customHeight="1">
      <x:c r="A13" s="9" t="str">
        <x:v>A014</x:v>
      </x:c>
      <x:c r="B13" s="9" t="str">
        <x:v>Tickets transferred from SGD to Adam sometimes under-perform random tickets at low pruning fractions but outperform random tickets at high pruning fractions.</x:v>
      </x:c>
      <x:c r="C13" s="9" t="str">
        <x:v>从SGD迁移到Adam的中奖彩票，在低剪枝比例下有时表现不及随机彩票，但在高剪枝比例下则优于随机彩票。</x:v>
      </x:c>
      <x:c r="D13" s="9" t="str">
        <x:v>paper:867771291879342656::conclusion_3</x:v>
      </x:c>
      <x:c r="E13" s="9" t="str">
        <x:v>gcn_d354352c21724714</x:v>
      </x:c>
      <x:c r="F13" s="9" t="str">
        <x:v>$.assertions[?(@.id=="A014")]</x:v>
      </x:c>
    </x:row>
    <x:row r="14" ht="72" customHeight="1">
      <x:c r="A14" s="9" t="str">
        <x:v>A015</x:v>
      </x:c>
      <x:c r="B14" s="9" t="str">
        <x:v>A winning ticket discovered on CIFAR-10a (a subset of the CIFAR-10 dataset containing 25,000 training images with 2,500 images per class) transfers to a disjoint subset CIFAR-10b from the same data distribution and improves training on that held-out subset relative to random sparse initializations.</x:v>
      </x:c>
      <x:c r="C14" s="9" t="str">
        <x:v>在CIFAR-10a（CIFAR-10数据集的一个子集，包含25,000张训练图像，每个类别2,500张）上发现的中奖彩票，能够迁移到来自同一数据分布的不相交子集CIFAR-10b，并相对于随机稀疏初始化改善了该保留子集上的训练效果。</x:v>
      </x:c>
      <x:c r="D14" s="9" t="str">
        <x:v>paper:867771291879342656::conclusion_4</x:v>
      </x:c>
      <x:c r="E14" s="9" t="str">
        <x:v>gcn_2cab68b8709b4d9f</x:v>
      </x:c>
      <x:c r="F14" s="9" t="str">
        <x:v>$.assertions[?(@.id=="A015")]</x:v>
      </x:c>
    </x:row>
    <x:row r="15" ht="72" customHeight="1">
      <x:c r="A15" s="9" t="str">
        <x:v>A016</x:v>
      </x:c>
      <x:c r="B15" s="9" t="str">
        <x:v>This within-distribution transfer (the transfer described by A015) holds for both VGG19 and ResNet50.</x:v>
      </x:c>
      <x:c r="C15" s="9" t="str">
        <x:v>这种（A015所描述的）分布内迁移在VGG19和ResNet50上都成立。</x:v>
      </x:c>
      <x:c r="D15" s="9" t="str">
        <x:v>paper:867771291879342656::conclusion_4</x:v>
      </x:c>
      <x:c r="E15" s="9" t="str">
        <x:v>gcn_2cab68b8709b4d9f</x:v>
      </x:c>
      <x:c r="F15" s="9" t="str">
        <x:v>$.assertions[?(@.id=="A016")]</x:v>
      </x:c>
    </x:row>
    <x:row r="16" ht="72" customHeight="1">
      <x:c r="A16" s="9" t="str">
        <x:v>A017</x:v>
      </x:c>
      <x:c r="B16" s="9" t="str">
        <x:v>ResNet50 showed sensitivity at low pruning fractions, occasionally under-performing random tickets when few weights are pruned.</x:v>
      </x:c>
      <x:c r="C16" s="9" t="str">
        <x:v>ResNet50在低剪枝比例下表现出一定的敏感性，在剪枝权重较少时偶尔会不及随机彩票的表现。</x:v>
      </x:c>
      <x:c r="D16" s="9" t="str">
        <x:v>paper:867771291879342656::conclusion_4</x:v>
      </x:c>
      <x:c r="E16" s="9" t="str">
        <x:v>gcn_2cab68b8709b4d9f</x:v>
      </x:c>
      <x:c r="F16" s="9" t="str">
        <x:v>$.assertions[?(@.id=="A017")]</x:v>
      </x:c>
    </x:row>
    <x:row r="17" ht="72" customHeight="1">
      <x:c r="A17" s="9" t="str">
        <x:v>A018</x:v>
      </x:c>
      <x:c r="B17" s="9" t="str">
        <x:v>When performing magnitude pruning for winning-ticket discovery on VGG19 trained on CIFAR-10, globally ranking weights across all layers and pruning the smallest-magnitude weights globally yields higher-performing sparse subnetworks than pruning a fixed fraction per layer ("layerwise pruning").</x:v>
      </x:c>
      <x:c r="C17" s="9" t="str">
        <x:v>在CIFAR-10上训练VGG19进行中奖彩票发现的量级剪枝过程中，跨所有层全局排序权重并全局剪除最小量级的权重，比按每层固定比例剪枝（“逐层剪枝”）产生了性能更高的稀疏子网络。</x:v>
      </x:c>
      <x:c r="D17" s="9" t="str">
        <x:v>paper:867771291879342656::conclusion_5</x:v>
      </x:c>
      <x:c r="E17" s="9" t="str">
        <x:v>gcn_cdeb0e970f4042d0</x:v>
      </x:c>
      <x:c r="F17" s="9" t="str">
        <x:v>$.assertions[?(@.id=="A018")]</x:v>
      </x:c>
    </x:row>
    <x:row r="18" ht="72" customHeight="1">
      <x:c r="A18" s="9" t="str">
        <x:v>A019</x:v>
      </x:c>
      <x:c r="B18" s="9" t="str">
        <x:v>Under global magnitude pruning the pruning fractions vary across layers: deeper convolutional layers are pruned more heavily while early layers (notably the first convolutional layer) retain a much larger fraction of their parameters.</x:v>
      </x:c>
      <x:c r="C18" s="9" t="str">
        <x:v>在全局量级剪枝下，各层的剪枝比例存在差异：更深的卷积层被剪除得更多，而较早的层（尤其是第一个卷积层）保留了远大比例的参数。</x:v>
      </x:c>
      <x:c r="D18" s="9" t="str">
        <x:v>paper:867771291879342656::conclusion_5</x:v>
      </x:c>
      <x:c r="E18" s="9" t="str">
        <x:v>gcn_cdeb0e970f4042d0</x:v>
      </x:c>
      <x:c r="F18" s="9" t="str">
        <x:v>$.assertions[?(@.id=="A019")]</x:v>
      </x:c>
    </x:row>
    <x:row r="19" ht="72" customHeight="1">
      <x:c r="A19" s="9" t="str">
        <x:v>A020</x:v>
      </x:c>
      <x:c r="B19" s="9" t="str">
        <x:v>For VGG19 trained on CIFAR-10, the structure of the pruning mask contains substantial information useful for training sparse networks.</x:v>
      </x:c>
      <x:c r="C19" s="9" t="str">
        <x:v>对于在CIFAR-10上训练的VGG19，剪枝掩码的结构包含了对训练稀疏网络有用的大量信息。</x:v>
      </x:c>
      <x:c r="D19" s="9" t="str">
        <x:v>paper:867771291879342656::conclusion_6</x:v>
      </x:c>
      <x:c r="E19" s="9" t="str">
        <x:v>gcn_764a16230b6b4c66</x:v>
      </x:c>
      <x:c r="F19" s="9" t="str">
        <x:v>$.assertions[?(@.id=="A020")]</x:v>
      </x:c>
    </x:row>
    <x:row r="20" ht="72" customHeight="1">
      <x:c r="A20" s="9" t="str">
        <x:v>A021</x:v>
      </x:c>
      <x:c r="B20" s="9" t="str">
        <x:v>For VGG19 trained on CIFAR-10, locally permuting a winning-ticket mask (permuting the mask only within each layer) degrades performance moderately, while globally permuting the winning-ticket mask (permuting the mask across all layers) degrades performance dramatically.</x:v>
      </x:c>
      <x:c r="C20" s="9" t="str">
        <x:v>对于在CIFAR-10上训练的VGG19，局部置换中奖彩票掩码（即仅在每一层内部对掩码进行置换）会使性能出现中等程度的下降，而全局置换中奖彩票掩码（即跨所有层对掩码进行置换）则会使性能大幅下降。</x:v>
      </x:c>
      <x:c r="D20" s="9" t="str">
        <x:v>paper:867771291879342656::conclusion_6</x:v>
      </x:c>
      <x:c r="E20" s="9" t="str">
        <x:v>gcn_764a16230b6b4c66</x:v>
      </x:c>
      <x:c r="F20" s="9" t="str">
        <x:v>$.assertions[?(@.id=="A021")]</x:v>
      </x:c>
    </x:row>
    <x:row r="21" ht="72" customHeight="1">
      <x:c r="A21" s="9" t="str">
        <x:v>A022</x:v>
      </x:c>
      <x:c r="B21" s="9" t="str">
        <x:v>The structure of the pruning mask contains substantial information useful for training sparse networks.</x:v>
      </x:c>
      <x:c r="C21" s="9" t="str">
        <x:v>剪枝掩码的结构本身包含了对训练稀疏网络有用的重要信息。</x:v>
      </x:c>
      <x:c r="D21" s="9" t="str">
        <x:v>paper:867771291879342656::conclusion_6</x:v>
      </x:c>
      <x:c r="E21" s="9" t="str">
        <x:v>gcn_764a16230b6b4c66</x:v>
      </x:c>
      <x:c r="F21" s="9" t="str">
        <x:v>$.assertions[?(@.id=="A022")]</x:v>
      </x:c>
    </x:row>
    <x:row r="22" ht="72" customHeight="1">
      <x:c r="A22" s="9" t="str">
        <x:v>A023</x:v>
      </x:c>
      <x:c r="B22" s="9" t="str">
        <x:v>Preserving mask statistics across layers transfers information from the discovered ticket.</x:v>
      </x:c>
      <x:c r="C22" s="9" t="str">
        <x:v>跨层保留掩码统计信息，会将已发现彩票中的信息迁移过去。</x:v>
      </x:c>
      <x:c r="D22" s="9" t="str">
        <x:v>paper:867771291879342656::conclusion_6</x:v>
      </x:c>
      <x:c r="E22" s="9" t="str">
        <x:v>gcn_764a16230b6b4c66</x:v>
      </x:c>
      <x:c r="F22" s="9" t="str">
        <x:v>$.assertions[?(@.id=="A023")]</x:v>
      </x:c>
    </x:row>
    <x:row r="23" ht="72" customHeight="1">
      <x:c r="A23" s="9" t="str">
        <x:v>A024</x:v>
      </x:c>
      <x:c r="B23" s="9" t="str">
        <x:v>A fair "random ticket" baseline for evaluating a winning-ticket initialization should randomize both weight values and mask structure (global permutation).</x:v>
      </x:c>
      <x:c r="C23" s="9" t="str">
        <x:v>用于评估中奖彩票初始化的公平“随机彩票”基线，应当同时随机化权重值和掩码结构（全局置换）。</x:v>
      </x:c>
      <x:c r="D23" s="9" t="str">
        <x:v>paper:867771291879342656::conclusion_6</x:v>
      </x:c>
      <x:c r="E23" s="9" t="str">
        <x:v>gcn_764a16230b6b4c66</x:v>
      </x:c>
      <x:c r="F23" s="9" t="str">
        <x:v>$.assertions[?(@.id=="A024")]</x:v>
      </x:c>
    </x:row>
    <x:row r="24" ht="72" customHeight="1">
      <x:c r="A24" s="10" t="str">
        <x:v>A025</x:v>
      </x:c>
      <x:c r="B24" s="10" t="str">
        <x:v>For obtaining competitive winning tickets in the large-model and large-dataset regime of natural-image classification, an iterative magnitude-pruning schedule with pruning fraction per iteration 0.2 (20% of remaining parameters) over up to 30 iterations combined with late resetting to parameters at a small early training iteration produced effective winning tickets; late resetting settings used were resetting to the parameters after 1 epoch for Fashion-MNIST, SVHN, CIFAR-10 and CIFAR-100, and after 3 epochs for ImageNet and Places365. Learning-rate annealing schedules and other hyperparameters were matched per model family (VGG19 trained 160 epochs with LR drops at epochs 80 and 120; ResNet50 trained 90 epochs with LR drops at epochs 50, 65, and 80).</x:v>
      </x:c>
      <x:c r="C24" s="10" t="str">
        <x:v>为了在自然图像分类的大模型、大数据集范围内获得具有竞争力的中奖彩票，采用每轮剪枝比例为0.2（剩余参数的20%）、最多进行30轮迭代的迭代量级剪枝方案，并结合将参数延迟重置到训练早期某个较小迭代步的做法，能够产生有效的中奖彩票；所采用的延迟重置设置为：对于Fashion-MNIST、SVHN、CIFAR-10和CIFAR-100，重置到第1个epoch后的参数，对于ImageNet和Places365，重置到第3个epoch后的参数。学习率退火方案和其他超参数按模型系列进行了匹配（VGG19训练160个epoch，在第80和第120个epoch进行学习率下降；ResNet50训练90个epoch，在第50、65和80个epoch进行学习率下降）。</x:v>
      </x:c>
      <x:c r="D24" s="10" t="str">
        <x:v>paper:867771291879342656::conclusion_7</x:v>
      </x:c>
      <x:c r="E24" s="10" t="str">
        <x:v>gcn_1c4ea7e959814d8f</x:v>
      </x:c>
      <x:c r="F24" s="10" t="str">
        <x:v>$.assertions[?(@.id=="A025")]</x:v>
      </x:c>
    </x:row>
  </x:sheetData>
  <x:pageMargins left="0.7" right="0.7" top="0.75" bottom="0.75" header="0.3" footer="0.3"/>
  <x:tableParts count="1">
    <x:tablePart xmlns:r="http://schemas.openxmlformats.org/officeDocument/2006/relationships" r:id="Rb32ff3464a52468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24" hidden="0" customWidth="1"/>
    <x:col min="3" max="3" width="18" hidden="0" customWidth="1"/>
    <x:col min="4" max="4" width="14" hidden="0" customWidth="1"/>
    <x:col min="5" max="5" width="42" hidden="0" customWidth="1"/>
    <x:col min="6" max="6" width="42" hidden="0" customWidth="1"/>
    <x:col min="7" max="7" width="72" hidden="0" customWidth="1"/>
    <x:col min="8" max="8" width="72" hidden="0" customWidth="1"/>
    <x:col min="9" max="9" width="10" hidden="0" customWidth="1"/>
    <x:col min="10" max="10" width="10" hidden="0" customWidth="1"/>
    <x:col min="11" max="11" width="62" hidden="0" customWidth="1"/>
    <x:col min="12" max="12" width="62" hidden="0" customWidth="1"/>
    <x:col min="13" max="13" width="62" hidden="0" customWidth="1"/>
    <x:col min="14" max="14" width="56" hidden="0" customWidth="1"/>
  </x:cols>
  <x:sheetData>
    <x:row r="1" ht="32" customHeight="1">
      <x:c r="A1" s="7" t="str">
        <x:v>ID</x:v>
      </x:c>
      <x:c r="B1" s="7" t="str">
        <x:v>Global_ID</x:v>
      </x:c>
      <x:c r="C1" s="7" t="str">
        <x:v>Kind</x:v>
      </x:c>
      <x:c r="D1" s="7" t="str">
        <x:v>Type</x:v>
      </x:c>
      <x:c r="E1" s="7" t="str">
        <x:v>Title_EN</x:v>
      </x:c>
      <x:c r="F1" s="7" t="str">
        <x:v>Title_ZH</x:v>
      </x:c>
      <x:c r="G1" s="7" t="str">
        <x:v>Content_EN</x:v>
      </x:c>
      <x:c r="H1" s="7" t="str">
        <x:v>Content_ZH</x:v>
      </x:c>
      <x:c r="I1" s="7" t="str">
        <x:v>Order</x:v>
      </x:c>
      <x:c r="J1" s="7" t="str">
        <x:v>Prior</x:v>
      </x:c>
      <x:c r="K1" s="7" t="str">
        <x:v>Metadata_JSON</x:v>
      </x:c>
      <x:c r="L1" s="7" t="str">
        <x:v>Steps_EN_JSON</x:v>
      </x:c>
      <x:c r="M1" s="7" t="str">
        <x:v>Steps_ZH_JSON</x:v>
      </x:c>
      <x:c r="N1" s="7" t="str">
        <x:v>JSON_Path</x:v>
      </x:c>
    </x:row>
    <x:row r="2" ht="72" customHeight="1">
      <x:c r="A2" s="8" t="str">
        <x:v>paper:867771291879342656::conclusion_1_subproblem</x:v>
      </x:c>
      <x:c r="B2" s="8" t="str">
        <x:v>gcn_60801a4c6da944fb</x:v>
      </x:c>
      <x:c r="C2" s="8" t="str">
        <x:v>subproblem</x:v>
      </x:c>
      <x:c r="D2" s="8" t="str">
        <x:v>question</x:v>
      </x:c>
      <x:c r="E2" s="8" t="str"/>
      <x:c r="F2" s="8" t="str"/>
      <x:c r="G2" s="8" t="str">
        <x:v>In the context of supervised image classification with over-parameterized convolutional networks (VGG19 and ResNet50), researchers sought initialization schemes that permit training highly sparse subnetworks to high performance without requiring repeated full-model search per target task. Prior practice produced winning-ticket initializations by performing iterative magnitude pruning and resetting within the same dataset/optimizer as evaluation; this approach is computationally costly (many full-model re-trainings, e.g., 30 pruning iterations) and leaves open whether the discovered initialization encodes only dataset-specific information or a broader inductive bias. If winning tickets were dataset-specific, then each new target dataset would require the same expensive search, preventing amortization; if they were generic, a small set of winning tickets could be reused. Prior work did not systematically test cross-dataset transfer within the same data domain, so it was unknown whether tickets from large datasets like ImageNet embed transferable structure useful across varied natural-image classification tasks.</x:v>
      </x:c>
      <x:c r="H2" s="8" t="str">
        <x:v>在使用过参数化卷积网络（VGG19 和 ResNet50）进行监督图像分类时，研究者希望找到一种初始化方案，使高度稀疏的子网络无需针对每个目标任务反复搜索完整模型，也能训练到较高性能。以往通常在与评估相同的数据集和优化器上，通过迭代量级剪枝和参数重置来发现中奖彩票初始化；这种方法计算成本很高（例如需要 30 轮剪枝与多次完整模型重训），而且尚不清楚所得初始化只编码了特定数据集的信息，还是包含更广泛的归纳偏置。如果中奖彩票依赖特定数据集，每个新目标数据集都要重复昂贵搜索；如果它们具有通用性，则可以复用少量中奖彩票。此前工作没有系统检验同一数据域内的跨数据集迁移，因此尚不知道 ImageNet 等大型数据集得到的彩票是否包含可用于多种自然图像分类任务的可迁移结构。</x:v>
      </x:c>
      <x:c r="I2" s="8" t="str"/>
      <x:c r="J2" s="8" t="str"/>
      <x:c r="K2" s="8" t="str">
        <x:v>{}</x:v>
      </x:c>
      <x:c r="L2" s="8" t="str">
        <x:v>[]</x:v>
      </x:c>
      <x:c r="M2" s="8" t="str">
        <x:v>[]</x:v>
      </x:c>
      <x:c r="N2" s="8" t="str">
        <x:v>$.data.papers[0].graph.nodes[?(@.id=="paper:867771291879342656::conclusion_1_subproblem")]</x:v>
      </x:c>
    </x:row>
    <x:row r="3" ht="72" customHeight="1">
      <x:c r="A3" s="9" t="str">
        <x:v>paper:867771291879342656::conclusion_2_subproblem</x:v>
      </x:c>
      <x:c r="B3" s="9" t="str">
        <x:v>gcn_cc3793d2a37048f0</x:v>
      </x:c>
      <x:c r="C3" s="9" t="str">
        <x:v>subproblem</x:v>
      </x:c>
      <x:c r="D3" s="9" t="str">
        <x:v>question</x:v>
      </x:c>
      <x:c r="E3" s="9" t="str"/>
      <x:c r="F3" s="9" t="str"/>
      <x:c r="G3" s="9" t="str">
        <x:v>Practitioners need guidance about how to choose or construct source datasets for producing reusable winning-ticket initializations. Prior to this study, it was unclear whether increasing only the number of examples, only the number of classes, or both would yield more generic tickets. Without this knowledge, attempts to amortize the expensive ticket-discovery process risked choosing suboptimal source datasets that yield tickets that do not generalize, meaning the search cost could not be shared across tasks. Understanding which dataset properties correlate with transferability is necessary to decide whether investing computation into large, class-rich source datasets (e.g., ImageNet/Places365) will produce broadly useful initializations.</x:v>
      </x:c>
      <x:c r="H3" s="9" t="str">
        <x:v>实践者需要知道应如何选择或构造源数据集，以产生可复用的中奖彩票初始化。在本研究之前，尚不清楚仅增加样本数、仅增加类别数，或同时增加两者，哪一种能得到更通用的彩票。缺少这一知识时，为摊销昂贵的彩票发现成本而选择源数据集，可能选中只能产生低泛化彩票的次优数据集。弄清哪些数据集属性与可迁移性相关，是判断是否值得在 ImageNet、Places365 等大型且类别丰富的数据集上投入计算的前提。</x:v>
      </x:c>
      <x:c r="I3" s="9" t="str"/>
      <x:c r="J3" s="9" t="str"/>
      <x:c r="K3" s="9" t="str">
        <x:v>{}</x:v>
      </x:c>
      <x:c r="L3" s="9" t="str">
        <x:v>[]</x:v>
      </x:c>
      <x:c r="M3" s="9" t="str">
        <x:v>[]</x:v>
      </x:c>
      <x:c r="N3" s="9" t="str">
        <x:v>$.data.papers[0].graph.nodes[?(@.id=="paper:867771291879342656::conclusion_2_subproblem")]</x:v>
      </x:c>
    </x:row>
    <x:row r="4" ht="72" customHeight="1">
      <x:c r="A4" s="9" t="str">
        <x:v>paper:867771291879342656::conclusion_3_subproblem</x:v>
      </x:c>
      <x:c r="B4" s="9" t="str">
        <x:v>gcn_76a07ce1ef6344af</x:v>
      </x:c>
      <x:c r="C4" s="9" t="str">
        <x:v>subproblem</x:v>
      </x:c>
      <x:c r="D4" s="9" t="str">
        <x:v>question</x:v>
      </x:c>
      <x:c r="E4" s="9" t="str"/>
      <x:c r="F4" s="9" t="str"/>
      <x:c r="G4" s="9" t="str">
        <x:v>It was unknown whether the beneficial initialization captured by a winning ticket is optimizer-specific because different optimizers follow different optimization trajectories and may make different regions of parameter space reachable. If tickets were optimizer-specific, then for each optimizer of practical interest a separate, expensive ticket discovery would be required, limiting reusability. Prior empirical work had not measured cross-optimizer transfer systematically (e.g., SGD ↔ Adam) while controlling other factors, so it remained an open question whether a ticket's inductive bias is tied to the optimization algorithm used to find it.</x:v>
      </x:c>
      <x:c r="H4" s="9" t="str">
        <x:v>中奖彩票所包含的有益初始化是否依赖特定优化器，过去并不清楚，因为不同优化器遵循不同的优化轨迹，也可能到达参数空间的不同区域。如果彩票依赖优化器，则每种实际使用的优化器都需要单独进行昂贵的彩票搜索，复用价值会受到限制。此前实证工作没有在控制其他因素的情况下系统测量跨优化器迁移（例如 SGD 与 Adam 之间的迁移），因此彩票的归纳偏置是否与发现它的优化算法绑定，仍是开放问题。</x:v>
      </x:c>
      <x:c r="I4" s="9" t="str"/>
      <x:c r="J4" s="9" t="str"/>
      <x:c r="K4" s="9" t="str">
        <x:v>{}</x:v>
      </x:c>
      <x:c r="L4" s="9" t="str">
        <x:v>[]</x:v>
      </x:c>
      <x:c r="M4" s="9" t="str">
        <x:v>[]</x:v>
      </x:c>
      <x:c r="N4" s="9" t="str">
        <x:v>$.data.papers[0].graph.nodes[?(@.id=="paper:867771291879342656::conclusion_3_subproblem")]</x:v>
      </x:c>
    </x:row>
    <x:row r="5" ht="72" customHeight="1">
      <x:c r="A5" s="9" t="str">
        <x:v>paper:867771291879342656::conclusion_4_subproblem</x:v>
      </x:c>
      <x:c r="B5" s="9" t="str">
        <x:v>gcn_89451528994b443e</x:v>
      </x:c>
      <x:c r="C5" s="9" t="str">
        <x:v>subproblem</x:v>
      </x:c>
      <x:c r="D5" s="9" t="str">
        <x:v>question</x:v>
      </x:c>
      <x:c r="E5" s="9" t="str"/>
      <x:c r="F5" s="9" t="str"/>
      <x:c r="G5" s="9" t="str">
        <x:v>Before reuse of winning tickets across datasets could be plausibly advocated, it was necessary to check whether discovered tickets merely encode idiosyncratic information about the exact training samples used (overfitting to sample draws). If a ticket were specific to the random sample ordering or particular subset, it would not be reusable even across similar data. Prior studies did not separate sample-level overfitting from distribution-level transfer; establishing within-distribution generalization is a first step toward arguing for broader dataset- or domain-level portability.</x:v>
      </x:c>
      <x:c r="H5" s="9" t="str">
        <x:v>在主张中奖彩票可以跨数据集复用之前，需要先检查所得彩票是否只编码了所用训练样本的偶然特征，即是否过拟合于具体样本抽取。如果彩票依赖随机样本顺序或特定子集，那么即使面对相似数据也无法复用。此前研究没有区分样本层面的过拟合与分布层面的迁移；证明同分布内的泛化，是进一步论证跨数据集或跨数据域可迁移性的第一步。</x:v>
      </x:c>
      <x:c r="I5" s="9" t="str"/>
      <x:c r="J5" s="9" t="str"/>
      <x:c r="K5" s="9" t="str">
        <x:v>{}</x:v>
      </x:c>
      <x:c r="L5" s="9" t="str">
        <x:v>[]</x:v>
      </x:c>
      <x:c r="M5" s="9" t="str">
        <x:v>[]</x:v>
      </x:c>
      <x:c r="N5" s="9" t="str">
        <x:v>$.data.papers[0].graph.nodes[?(@.id=="paper:867771291879342656::conclusion_4_subproblem")]</x:v>
      </x:c>
    </x:row>
    <x:row r="6" ht="72" customHeight="1">
      <x:c r="A6" s="9" t="str">
        <x:v>paper:867771291879342656::conclusion_5_subproblem</x:v>
      </x:c>
      <x:c r="B6" s="9" t="str">
        <x:v>gcn_cfa338f71d0143dd</x:v>
      </x:c>
      <x:c r="C6" s="9" t="str">
        <x:v>subproblem</x:v>
      </x:c>
      <x:c r="D6" s="9" t="str">
        <x:v>question</x:v>
      </x:c>
      <x:c r="E6" s="9" t="str"/>
      <x:c r="F6" s="9" t="str"/>
      <x:c r="G6" s="9" t="str">
        <x:v>Pruning methodology determines the mask structure and hence the remaining sparse architecture; prior work employed different pruning regimes without a unified treatment of their comparative effects on winning-ticket quality and mask statistics. If layerwise pruning forces the same pruning fraction in small early layers it can leave too few parameters in those layers and harm expressivity; conversely, global pruning can adapt pruning intensity across layers but its effects on transferability and mask information content were not fully characterized. Understanding which pruning modality yields stronger tickets and what layerwise sparsity patterns emerge was necessary to choose an effective pruning pipeline for transferable tickets.</x:v>
      </x:c>
      <x:c r="H6" s="9" t="str">
        <x:v>剪枝方法决定掩码结构以及最终保留的稀疏架构。既有工作采用了不同剪枝机制，但尚未统一比较它们对中奖彩票质量和掩码统计的影响。逐层剪枝若强制每层使用相同剪枝比例，可能使参数本就较少的浅层保留过少参数并损害表达能力；全局剪枝可以按层调整剪枝强度，但其对可迁移性和掩码信息量的影响尚未充分刻画。因此，需要确定哪种剪枝方式能产生更强的彩票，以及会形成怎样的逐层稀疏模式。</x:v>
      </x:c>
      <x:c r="I6" s="9" t="str"/>
      <x:c r="J6" s="9" t="str"/>
      <x:c r="K6" s="9" t="str">
        <x:v>{}</x:v>
      </x:c>
      <x:c r="L6" s="9" t="str">
        <x:v>[]</x:v>
      </x:c>
      <x:c r="M6" s="9" t="str">
        <x:v>[]</x:v>
      </x:c>
      <x:c r="N6" s="9" t="str">
        <x:v>$.data.papers[0].graph.nodes[?(@.id=="paper:867771291879342656::conclusion_5_subproblem")]</x:v>
      </x:c>
    </x:row>
    <x:row r="7" ht="72" customHeight="1">
      <x:c r="A7" s="9" t="str">
        <x:v>paper:867771291879342656::conclusion_6_subproblem</x:v>
      </x:c>
      <x:c r="B7" s="9" t="str">
        <x:v>gcn_01326b8865054046</x:v>
      </x:c>
      <x:c r="C7" s="9" t="str">
        <x:v>subproblem</x:v>
      </x:c>
      <x:c r="D7" s="9" t="str">
        <x:v>question</x:v>
      </x:c>
      <x:c r="E7" s="9" t="str"/>
      <x:c r="F7" s="9" t="str"/>
      <x:c r="G7" s="9" t="str">
        <x:v>Prior comparisons between winning tickets and "random" sparse initializations sometimes retained the discovered ticket's mask for the random baseline, confounding whether performance differences arose from preserved connectivity patterns or the retained initial weight values. This ambiguity prevented clear attribution of what aspect of a winning ticket—mask topology or initial weight values—drives its training advantage, and could lead to overestimating the novelty of weight-value effects. A controlled assessment of mask permutations was therefore needed to define appropriate baselines and to isolate what is being transferred when reusing winning tickets.</x:v>
      </x:c>
      <x:c r="H7" s="9" t="str">
        <x:v>以往将中奖彩票与“随机”稀疏初始化比较时，有时会在随机基线中保留中奖彩票的掩码，因此无法区分性能差异究竟来自保留的连接结构，还是来自保留的初始权重值。这种混淆使人难以判断中奖彩票的优势由掩码拓扑还是初始权重驱动，也可能高估权重值本身的新颖作用。因而需要通过受控的掩码置换实验来定义恰当基线，并明确复用中奖彩票时究竟迁移了什么。</x:v>
      </x:c>
      <x:c r="I7" s="9" t="str"/>
      <x:c r="J7" s="9" t="str"/>
      <x:c r="K7" s="9" t="str">
        <x:v>{}</x:v>
      </x:c>
      <x:c r="L7" s="9" t="str">
        <x:v>[]</x:v>
      </x:c>
      <x:c r="M7" s="9" t="str">
        <x:v>[]</x:v>
      </x:c>
      <x:c r="N7" s="9" t="str">
        <x:v>$.data.papers[0].graph.nodes[?(@.id=="paper:867771291879342656::conclusion_6_subproblem")]</x:v>
      </x:c>
    </x:row>
    <x:row r="8" ht="72" customHeight="1">
      <x:c r="A8" s="9" t="str">
        <x:v>paper:867771291879342656::conclusion_7_subproblem</x:v>
      </x:c>
      <x:c r="B8" s="9" t="str">
        <x:v>gcn_c5f455630c854582</x:v>
      </x:c>
      <x:c r="C8" s="9" t="str">
        <x:v>subproblem</x:v>
      </x:c>
      <x:c r="D8" s="9" t="str">
        <x:v>question</x:v>
      </x:c>
      <x:c r="E8" s="9" t="str"/>
      <x:c r="F8" s="9" t="str"/>
      <x:c r="G8" s="9" t="str">
        <x:v>Prior demonstrations of lottery-ticket phenomena in large-scale settings encountered failures when applying the naïve reset-to-zero-iteration strategy, and follow-up work proposed late resetting as a remedy; however, reproducing winning tickets at scale requires a concrete, tuned pruning/reset schedule and training hyperparameters to be specified and validated. Without such a specified pipeline, experiments on large datasets and deep architectures risk failing to produce winning tickets simply due to suboptimal schedules rather than absence of sparse trainable subnetworks. Practitioners needed validated schedules and resetting heuristics for producing tickets that can be evaluated for transfer.</x:v>
      </x:c>
      <x:c r="H8" s="9" t="str">
        <x:v>此前在大规模场景中复现彩票假说时，直接重置到第 0 次迭代的朴素策略曾出现失败，后续工作提出延迟重置作为补救。但要在大规模模型上复现中奖彩票，还必须明确并验证具体的剪枝/重置日程和训练超参数。若缺少经过验证的流程，大型数据集和深层架构上的实验可能只是因为日程不佳而无法得到中奖彩票，而不是因为不存在可训练的稀疏子网络。实践者因此需要一套已验证的日程和重置启发式方法。</x:v>
      </x:c>
      <x:c r="I8" s="9" t="str"/>
      <x:c r="J8" s="9" t="str"/>
      <x:c r="K8" s="9" t="str">
        <x:v>{}</x:v>
      </x:c>
      <x:c r="L8" s="9" t="str">
        <x:v>[]</x:v>
      </x:c>
      <x:c r="M8" s="9" t="str">
        <x:v>[]</x:v>
      </x:c>
      <x:c r="N8" s="9" t="str">
        <x:v>$.data.papers[0].graph.nodes[?(@.id=="paper:867771291879342656::conclusion_7_subproblem")]</x:v>
      </x:c>
    </x:row>
    <x:row r="9" ht="72" customHeight="1">
      <x:c r="A9" s="9" t="str">
        <x:v>paper:867771291879342656::conclusion_1</x:v>
      </x:c>
      <x:c r="B9" s="9" t="str">
        <x:v>gcn_f22fc9a9f36d4b45</x:v>
      </x:c>
      <x:c r="C9" s="9" t="str">
        <x:v>conclusion</x:v>
      </x:c>
      <x:c r="D9" s="9" t="str">
        <x:v>claim</x:v>
      </x:c>
      <x:c r="E9" s="9" t="str">
        <x:v>Winning tickets from large natural-image source datasets transfer across natural-image target datasets with near target-specific performance</x:v>
      </x:c>
      <x:c r="F9" s="9" t="str">
        <x:v>大型自然图像源数据集得到的中奖彩票可迁移到自然图像目标数据集，性能接近目标任务专用彩票</x:v>
      </x:c>
      <x:c r="G9" s="9" t="str">
        <x:v>Winning-ticket initializations discovered by iterative magnitude pruning (iterative pruning rate 0.2, up to 30 pruning iterations; late resetting to early training iterations) on large, complex natural-image source datasets (ImageNet and Places365, and to a lesser extent CIFAR-100) produce sparse initializations that, when used to train a VGG19 or ResNet50 architecture on other natural-image target datasets (SVHN, Fashion-MNIST, CIFAR-10, CIFAR-100, ImageNet, Places365), frequently achieve test accuracies on the target tasks that are close to the accuracies obtained by winning tickets discovered directly on those target datasets. The transferability is observed across a wide range of pruning fractions (including very high sparsity), and larger / more class-rich source datasets produced stronger cross-dataset transfer than smaller sources (e.g., CIFAR-100 tickets generalize better than CIFAR-10 tickets despite both having 50,000 training examples).</x:v>
      </x:c>
      <x:c r="H9" s="9" t="str">
        <x:v>在大型、复杂的自然图像源数据集（ImageNet、Places365，以及较弱程度上的 CIFAR-100）上，通过迭代量级剪枝发现的中奖彩票初始化（每轮剪枝率 0.2，最多 30 轮，并延迟重置到训练早期参数），用于在其他自然图像目标数据集（SVHN、Fashion-MNIST、CIFAR-10、CIFAR-100、ImageNet、Places365）上训练相同的 VGG19 或 ResNet50 架构时，往往能取得接近直接在目标数据集上发现的彩票的测试准确率。这种迁移在广泛的剪枝比例下都能观察到，包括极高稀疏度；大型、类别更丰富的源数据集通常比小型源数据集产生更强的跨数据集迁移，例如训练样本数相同的 CIFAR-100 彩票比 CIFAR-10 彩票泛化更好。</x:v>
      </x:c>
      <x:c r="I9" s="9" t="n">
        <x:v>1</x:v>
      </x:c>
      <x:c r="J9" s="9" t="n">
        <x:v>0.95</x:v>
      </x:c>
      <x:c r="K9" s="9" t="str">
        <x:v>{"narrative":"The conclusion is well-supported by extensive empirical evidence. Highlight H1 demonstrates that transferred tickets from large sources can even outperform target-specific tickets on Fashion-MNIST, revealing generic inductive biases beyond dataset-specific effects. Highlight H2 confirms that the transfer pattern is consistent across two distinct architectures (VGG19 and ResNet50), precluding architecture-specific artifacts. No load-bearing weak points were identified within the paper's scope of natural-image datasets and tested architectures. The conclusion is therefore strongly credited."}</x:v>
      </x:c>
      <x:c r="L9" s="9" t="str">
        <x:v>[]</x:v>
      </x:c>
      <x:c r="M9" s="9" t="str">
        <x:v>[]</x:v>
      </x:c>
      <x:c r="N9" s="9" t="str">
        <x:v>$.data.papers[0].graph.nodes[?(@.id=="paper:867771291879342656::conclusion_1")]</x:v>
      </x:c>
    </x:row>
    <x:row r="10" ht="72" customHeight="1">
      <x:c r="A10" s="9" t="str">
        <x:v>paper:867771291879342656::conclusion_2</x:v>
      </x:c>
      <x:c r="B10" s="9" t="str">
        <x:v>gcn_0fdc65dd973e495e</x:v>
      </x:c>
      <x:c r="C10" s="9" t="str">
        <x:v>conclusion</x:v>
      </x:c>
      <x:c r="D10" s="9" t="str">
        <x:v>claim</x:v>
      </x:c>
      <x:c r="E10" s="9" t="str">
        <x:v>Source dataset scale and number of classes predict transferability of winning tickets</x:v>
      </x:c>
      <x:c r="F10" s="9" t="str">
        <x:v>源数据集规模和类别数量可预测中奖彩票的可迁移性</x:v>
      </x:c>
      <x:c r="G10" s="9" t="str">
        <x:v>Winning tickets discovered on larger source datasets—both in terms of number of training examples and number of output classes—transfer substantially better to other natural-image classification datasets (SVHN, Fashion-MNIST, CIFAR-10, CIFAR-100, ImageNet, Places365) than tickets discovered on smaller source datasets, for both VGG19 and ResNet50 architectures. This effect is not solely explained by raw training-set size: holding training-set size fixed, a source dataset with many classes (CIFAR-100, 100 classes) produced tickets that generalized better across targets than one with few classes (CIFAR-10, 10 classes).</x:v>
      </x:c>
      <x:c r="H10" s="9" t="str">
        <x:v>在 VGG19 和 ResNet50 两种架构上，从训练样本更多、输出类别更多的大型源数据集中发现的中奖彩票，迁移到其他自然图像分类数据集时，明显优于从小型源数据集中发现的彩票。这一效应不能只用原始训练集大小解释：在训练样本数相同的情况下，类别更多的 CIFAR-100（100 类）产生的彩票，比类别较少的 CIFAR-10（10 类）产生的彩票在多个目标任务上泛化更好。</x:v>
      </x:c>
      <x:c r="I10" s="9" t="n">
        <x:v>2</x:v>
      </x:c>
      <x:c r="J10" s="9" t="n">
        <x:v>0.7</x:v>
      </x:c>
      <x:c r="K10" s="9" t="str">
        <x:v>{"narrative":"The consistent ordering of source effectiveness across multiple targets and architectures (highlight H3) provides robust correlational evidence that source dataset scale and class diversity predict transferability. However, premise P1 identifies a critical confound: the comparison between CIFAR-10 and CIFAR-100 does not control for other dataset properties beyond class count, so the specific claim that number of classes independently predicts transferability is not firmly established. The conclusion's scale aspect is well-supported, but the class-count aspect remains uncertain."}</x:v>
      </x:c>
      <x:c r="L10" s="9" t="str">
        <x:v>[]</x:v>
      </x:c>
      <x:c r="M10" s="9" t="str">
        <x:v>[]</x:v>
      </x:c>
      <x:c r="N10" s="9" t="str">
        <x:v>$.data.papers[0].graph.nodes[?(@.id=="paper:867771291879342656::conclusion_2")]</x:v>
      </x:c>
    </x:row>
    <x:row r="11" ht="72" customHeight="1">
      <x:c r="A11" s="9" t="str">
        <x:v>paper:867771291879342656::conclusion_3</x:v>
      </x:c>
      <x:c r="B11" s="9" t="str">
        <x:v>gcn_d354352c21724714</x:v>
      </x:c>
      <x:c r="C11" s="9" t="str">
        <x:v>conclusion</x:v>
      </x:c>
      <x:c r="D11" s="9" t="str">
        <x:v>claim</x:v>
      </x:c>
      <x:c r="E11" s="9" t="str">
        <x:v>Winning tickets can generalize across optimizers (SGD w/ momentum and Adam) for VGG models</x:v>
      </x:c>
      <x:c r="F11" s="9" t="str">
        <x:v>VGG 模型的中奖彩票可以在优化器之间迁移（带动量 SGD 与 Adam）</x:v>
      </x:c>
      <x:c r="G11" s="9" t="str">
        <x:v>Winning-ticket initializations generated with one optimizer generalize to training with a different optimizer on natural-image classification datasets: VGG19 tickets found using SGD with momentum or using Adam, when re-used with the alternate optimizer, achieve high performance that is comparable to tickets discovered under the target optimizer. There are optimizer-dependent nuances in behavior: tickets transferred from SGD to Adam sometimes under-perform random tickets at low pruning fractions but outperform random tickets at high pruning fractions.</x:v>
      </x:c>
      <x:c r="H11" s="9" t="str">
        <x:v>在自然图像分类任务中，使用一种优化器产生的中奖彩票初始化可以迁移到另一种优化器：用带动量 SGD 或 Adam 在 VGG19 上发现的彩票，改用另一种优化器训练时，能够获得与目标优化器直接发现的彩票相近的较高性能。但行为存在优化器相关差异：从 SGD 迁移到 Adam 的彩票在低剪枝比例下有时不如随机彩票，而在高剪枝比例下则优于随机彩票。</x:v>
      </x:c>
      <x:c r="I11" s="9" t="n">
        <x:v>3</x:v>
      </x:c>
      <x:c r="J11" s="9" t="n">
        <x:v>0.5</x:v>
      </x:c>
      <x:c r="K11" s="9" t="str">
        <x:v>{"narrative":"Highlight H4 shows a controlled experiment that provides some evidence for cross-optimizer transfer in VGG19. However, premise P2 points out that the experiment lacks specification of the dataset and is limited to a single architecture (VGG19), making the generality of the conclusion uncertain. The conclusion is supported for the specific configuration tested but cannot be confidently extended to other architectures or datasets without additional evidence."}</x:v>
      </x:c>
      <x:c r="L11" s="9" t="str">
        <x:v>[]</x:v>
      </x:c>
      <x:c r="M11" s="9" t="str">
        <x:v>[]</x:v>
      </x:c>
      <x:c r="N11" s="9" t="str">
        <x:v>$.data.papers[0].graph.nodes[?(@.id=="paper:867771291879342656::conclusion_3")]</x:v>
      </x:c>
    </x:row>
    <x:row r="12" ht="72" customHeight="1">
      <x:c r="A12" s="9" t="str">
        <x:v>paper:867771291879342656::conclusion_4</x:v>
      </x:c>
      <x:c r="B12" s="9" t="str">
        <x:v>gcn_2cab68b8709b4d9f</x:v>
      </x:c>
      <x:c r="C12" s="9" t="str">
        <x:v>conclusion</x:v>
      </x:c>
      <x:c r="D12" s="9" t="str">
        <x:v>claim</x:v>
      </x:c>
      <x:c r="E12" s="9" t="str">
        <x:v>Winning tickets generalize across different samples from the same data distribution</x:v>
      </x:c>
      <x:c r="F12" s="9" t="str">
        <x:v>中奖彩票能够在同一数据分布的不同样本子集之间泛化</x:v>
      </x:c>
      <x:c r="G12" s="9" t="str">
        <x:v>A winning ticket discovered on CIFAR-10a, a subset of the CIFAR-10 dataset containing 25,000 training images with 2,500 images per class, transfers to a disjoint subset CIFAR-10b from the same data distribution and improves training on that held-out subset relative to random sparse initializations. This within-distribution transfer holds for both VGG19 and ResNet50, though ResNet50 showed sensitivity at low pruning fractions (occasionally under-performing random tickets when few weights are pruned).</x:v>
      </x:c>
      <x:c r="H12" s="9" t="str">
        <x:v>在包含 25,000 张训练图像、每类 2,500 张图像的 CIFAR-10a 子集上发现的中奖彩票，可以迁移到同一分布下互不重叠的 CIFAR-10b 子集，并相对于随机稀疏初始化改善该留出子集上的训练。该同分布迁移在 VGG19 和 ResNet50 上都成立，但 ResNet50 在低剪枝比例下较敏感，少量权重被剪除时偶尔不如随机彩票。</x:v>
      </x:c>
      <x:c r="I12" s="9" t="n">
        <x:v>4</x:v>
      </x:c>
      <x:c r="J12" s="9" t="n">
        <x:v>0.6</x:v>
      </x:c>
      <x:c r="K12" s="9" t="str">
        <x:v>{"narrative":"Highlight H5 shows that within-distribution transfer to a held-out split works for two architectures, precluding the failure mode of sample memorization. However, premise P3 highlights that the experiment uses a single split of a single dataset, which is insufficient to establish the general claim that winning tickets generalize across different samples from the same distribution. The conclusion is partially supported but requires validation across multiple splits and datasets."}</x:v>
      </x:c>
      <x:c r="L12" s="9" t="str">
        <x:v>[]</x:v>
      </x:c>
      <x:c r="M12" s="9" t="str">
        <x:v>[]</x:v>
      </x:c>
      <x:c r="N12" s="9" t="str">
        <x:v>$.data.papers[0].graph.nodes[?(@.id=="paper:867771291879342656::conclusion_4")]</x:v>
      </x:c>
    </x:row>
    <x:row r="13" ht="72" customHeight="1">
      <x:c r="A13" s="9" t="str">
        <x:v>paper:867771291879342656::conclusion_5</x:v>
      </x:c>
      <x:c r="B13" s="9" t="str">
        <x:v>gcn_cdeb0e970f4042d0</x:v>
      </x:c>
      <x:c r="C13" s="9" t="str">
        <x:v>conclusion</x:v>
      </x:c>
      <x:c r="D13" s="9" t="str">
        <x:v>claim</x:v>
      </x:c>
      <x:c r="E13" s="9" t="str">
        <x:v>Global magnitude pruning outperforms layerwise pruning and results in non-uniform layerwise sparsity (deeper layers pruned more) under global schedules</x:v>
      </x:c>
      <x:c r="F13" s="9" t="str">
        <x:v>全局量级剪枝优于逐层剪枝，并产生非均匀的逐层稀疏模式（深层剪得更多）</x:v>
      </x:c>
      <x:c r="G13" s="9" t="str">
        <x:v>When performing magnitude pruning for winning-ticket discovery on VGG19 trained on CIFAR-10, globally ranking weights across all layers and pruning the smallest-magnitude weights globally yields higher-performing sparse subnetworks than pruning a fixed fraction per layer ("layerwise pruning"). Under global magnitude pruning the pruning fractions vary across layers: deeper convolutional layers are pruned more heavily while early layers (notably the first convolutional layer) retain a much larger fraction of their parameters.</x:v>
      </x:c>
      <x:c r="H13" s="9" t="str">
        <x:v>在 CIFAR-10 上训练 VGG19 并发现中奖彩票时，将所有层的权重放在一起按量级排序、全局删除最小权重，得到的稀疏子网络性能高于每层按固定比例剪枝的逐层剪枝。在全局量级剪枝下，各层剪枝比例并不相同：更深的卷积层被剪得更多，而浅层、尤其第一卷积层保留了更大比例的参数。</x:v>
      </x:c>
      <x:c r="I13" s="9" t="n">
        <x:v>5</x:v>
      </x:c>
      <x:c r="J13" s="9" t="n">
        <x:v>0.5</x:v>
      </x:c>
      <x:c r="K13" s="9" t="str">
        <x:v>{"narrative":"Highlight H6 provides direct empirical evidence that global pruning outperforms layerwise pruning and produces non-uniform sparsity on VGG19/CIFAR-10. However, premise P4 notes that these results are limited to one architecture and one dataset, so the conclusion may not generalize. The claim is well-supported for the tested configuration but not beyond."}</x:v>
      </x:c>
      <x:c r="L13" s="9" t="str">
        <x:v>[]</x:v>
      </x:c>
      <x:c r="M13" s="9" t="str">
        <x:v>[]</x:v>
      </x:c>
      <x:c r="N13" s="9" t="str">
        <x:v>$.data.papers[0].graph.nodes[?(@.id=="paper:867771291879342656::conclusion_5")]</x:v>
      </x:c>
    </x:row>
    <x:row r="14" ht="72" customHeight="1">
      <x:c r="A14" s="9" t="str">
        <x:v>paper:867771291879342656::conclusion_6</x:v>
      </x:c>
      <x:c r="B14" s="9" t="str">
        <x:v>gcn_764a16230b6b4c66</x:v>
      </x:c>
      <x:c r="C14" s="9" t="str">
        <x:v>conclusion</x:v>
      </x:c>
      <x:c r="D14" s="9" t="str">
        <x:v>claim</x:v>
      </x:c>
      <x:c r="E14" s="9" t="str">
        <x:v>Mask structure carries substantial information; fair random baselines must randomize mask structure</x:v>
      </x:c>
      <x:c r="F14" s="9" t="str">
        <x:v>掩码结构包含大量信息；公平的随机基线必须随机化掩码结构</x:v>
      </x:c>
      <x:c r="G14" s="9" t="str">
        <x:v>For VGG19 trained on CIFAR-10, the structure of the pruning mask contains substantial information useful for training sparse networks: comparing (a) preserved winning-ticket masks, (b) masks permuted only within layers (local permutation), and (c) masks permuted across all layers (global permutation) shows that locally permuting a mask degrades performance moderately while globally permuting the mask degrades performance dramatically. Therefore, a fair "random ticket" baseline for evaluating a winning-ticket initialization should randomize both weight values and mask structure (global permutation), because preserving mask statistics across layers transfers information from the discovered ticket.</x:v>
      </x:c>
      <x:c r="H14" s="9" t="str">
        <x:v>对于在 CIFAR-10 上训练的 VGG19，剪枝掩码的结构包含对训练稀疏网络有用的重要信息。比较保留的彩票掩码、仅在层内置换的掩码和跨所有层全局置换的掩码可见：层内置换使性能中度下降，而全局置换导致性能显著下降。因此，用于评估中奖彩票初始化的公平“随机彩票”基线应同时随机化权重值和掩码结构，因为保留逐层掩码统计会从已发现的彩票中携带信息。</x:v>
      </x:c>
      <x:c r="I14" s="9" t="n">
        <x:v>6</x:v>
      </x:c>
      <x:c r="J14" s="9" t="n">
        <x:v>0.5</x:v>
      </x:c>
      <x:c r="K14" s="9" t="str">
        <x:v>{"narrative":"Highlight H7 provides a clear ablation showing that mask structure carries information at two levels, supporting the conclusion that fair baselines must randomize mask structure. However, premise P5 notes that the experiment is limited to VGG19/CIFAR-10, so the generality of the prescription is uncertain. The conclusion is well-supported for the tested setting."}</x:v>
      </x:c>
      <x:c r="L14" s="9" t="str">
        <x:v>[]</x:v>
      </x:c>
      <x:c r="M14" s="9" t="str">
        <x:v>[]</x:v>
      </x:c>
      <x:c r="N14" s="9" t="str">
        <x:v>$.data.papers[0].graph.nodes[?(@.id=="paper:867771291879342656::conclusion_6")]</x:v>
      </x:c>
    </x:row>
    <x:row r="15" ht="72" customHeight="1">
      <x:c r="A15" s="9" t="str">
        <x:v>paper:867771291879342656::conclusion_7</x:v>
      </x:c>
      <x:c r="B15" s="9" t="str">
        <x:v>gcn_1c4ea7e959814d8f</x:v>
      </x:c>
      <x:c r="C15" s="9" t="str">
        <x:v>conclusion</x:v>
      </x:c>
      <x:c r="D15" s="9" t="str">
        <x:v>claim</x:v>
      </x:c>
      <x:c r="E15" s="9" t="str">
        <x:v>Late resetting and iterative magnitude-pruning schedule used to obtain winning tickets for large models and datasets</x:v>
      </x:c>
      <x:c r="F15" s="9" t="str">
        <x:v>用于大型模型和数据集的彩票发现流程：延迟重置与迭代量级剪枝日程</x:v>
      </x:c>
      <x:c r="G15" s="9" t="str">
        <x:v>For obtaining competitive winning tickets in the large-model and large-dataset regime of natural-image classification, an iterative magnitude-pruning schedule with pruning fraction per iteration 0.2 (20% of remaining parameters) over up to 30 iterations combined with late resetting to parameters at a small early training iteration produced effective winning tickets; late resetting settings used were resetting to the parameters after 1 epoch for Fashion-MNIST, SVHN, CIFAR-10 and CIFAR-100, and after 3 epochs for ImageNet and Places365. Learning-rate annealing schedules and other hyperparameters were matched per model family (VGG19 trained 160 epochs with LR drops at epochs 80 and 120; ResNet50 trained 90 epochs with LR drops at epochs 50, 65, and 80).</x:v>
      </x:c>
      <x:c r="H15" s="9" t="str">
        <x:v>为了在自然图像分类的大模型、大数据集场景中得到有竞争力的中奖彩票，论文采用每轮剪除剩余参数 20%、最多 30 轮的迭代量级剪枝，并将参数延迟重置到训练早期。Fashion-MNIST、SVHN、CIFAR-10 和 CIFAR-100 重置到第 1 个 epoch 后的参数，ImageNet 和 Places365 重置到第 3 个 epoch 后的参数。学习率退火和其他超参数按模型族匹配：VGG19 训练 160 个 epoch，在第 80、120 个 epoch 降低学习率；ResNet50 训练 90 个 epoch，在第 50、65、80 个 epoch 降低学习率。</x:v>
      </x:c>
      <x:c r="I15" s="9" t="n">
        <x:v>7</x:v>
      </x:c>
      <x:c r="J15" s="9" t="n">
        <x:v>0.9</x:v>
      </x:c>
      <x:c r="K15" s="9" t="str">
        <x:v>{"narrative":"Highlight H8 confirms that the late-resetting and iterative pruning schedule successfully produces winning tickets for large models, replicating prior work. No load-bearing weak points were identified. The schedule is validated as effective for the experiments in this paper."}</x:v>
      </x:c>
      <x:c r="L15" s="9" t="str">
        <x:v>[]</x:v>
      </x:c>
      <x:c r="M15" s="9" t="str">
        <x:v>[]</x:v>
      </x:c>
      <x:c r="N15" s="9" t="str">
        <x:v>$.data.papers[0].graph.nodes[?(@.id=="paper:867771291879342656::conclusion_7")]</x:v>
      </x:c>
    </x:row>
    <x:row r="16" ht="72" customHeight="1">
      <x:c r="A16" s="9" t="str">
        <x:v>paper:867771291879342656::P1</x:v>
      </x:c>
      <x:c r="B16" s="9" t="str">
        <x:v>gcn_3a20090848234dec</x:v>
      </x:c>
      <x:c r="C16" s="9" t="str">
        <x:v>weak_point</x:v>
      </x:c>
      <x:c r="D16" s="9" t="str">
        <x:v>claim</x:v>
      </x:c>
      <x:c r="E16" s="9" t="str">
        <x:v>CIFAR-10 and CIFAR-100 confound class count with class granularity and image content</x:v>
      </x:c>
      <x:c r="F16" s="9" t="str">
        <x:v>CIFAR-10 与 CIFAR-100 的比较混杂了类别数、类别粒度和图像内容</x:v>
      </x:c>
      <x:c r="G16" s="9" t="str">
        <x:v>In winning ticket transferability experiments across natural-image datasets with VGG19 and ResNet50 architectures on SVHN, Fashion-MNIST, CIFAR-10, CIFAR-100, ImageNet, and Places365, the comparison between CIFAR-10 (10 classes, 50,000 training images) and CIFAR-100 (100 classes, 50,000 training images) confounds the number of output classes with class granularity (fine-grained versus coarse), image content, and baseline task difficulty. Therefore, the observed superior transferability of CIFAR-100 winning tickets over CIFAR-10 winning tickets cannot be uniquely attributed to the difference in the number of output classes.
      Fig. 3, Fig. 4</x:v>
      </x:c>
      <x:c r="H16" s="9" t="str">
        <x:v>在使用 VGG19 和 ResNet50 对多个自然图像数据集进行中奖彩票迁移的实验中，CIFAR-10（10 类、50,000 张训练图像）与 CIFAR-100（100 类、50,000 张训练图像）的比较，不仅改变了输出类别数，也同时改变了类别粒度、图像内容和基线任务难度。因此，CIFAR-100 彩票优于 CIFAR-10 彩票的迁移结果，不能唯一归因于输出类别数量的差异。</x:v>
      </x:c>
      <x:c r="I16" s="9" t="str"/>
      <x:c r="J16" s="9" t="n">
        <x:v>0.5</x:v>
      </x:c>
      <x:c r="K16" s="9" t="str">
        <x:v>{"failure_mode":"If the observed superior transfer of CIFAR-100 tickets is driven by other dataset properties (e.g., greater intra-class variability, more fine-grained distinctions) rather than by the number of classes per se, then the conclusion that \"number of classes predict transferability\" would be false or at least unsupported. The claim that \"simply increasing the number of classes while keeping the dataset size fixed may lead to substantial gains\" would be an overattribution.","refs":[{"text":"Fig. 3, Fig. 4","type":"figure"}],"weak_types":["generalization","causal"],"weakness_reason":"The paper uses a single comparison (CIFAR-10 vs. CIFAR-100) to infer a causal effect of class count, but these datasets are not matched on other dimensions. The field has known confounds between number of classes and dataset difficulty. Without additional control (e.g., artificially varying class count while holding other properties constant, or comparing multiple datasets with varying class counts), the conclusion that class count per se is predictive is uncertain."}</x:v>
      </x:c>
      <x:c r="L16" s="9" t="str">
        <x:v>[]</x:v>
      </x:c>
      <x:c r="M16" s="9" t="str">
        <x:v>[]</x:v>
      </x:c>
      <x:c r="N16" s="9" t="str">
        <x:v>$.data.papers[0].graph.nodes[?(@.id=="paper:867771291879342656::P1")]</x:v>
      </x:c>
    </x:row>
    <x:row r="17" ht="72" customHeight="1">
      <x:c r="A17" s="9" t="str">
        <x:v>paper:867771291879342656::P2</x:v>
      </x:c>
      <x:c r="B17" s="9" t="str">
        <x:v>gcn_c127ed02f3f94de9</x:v>
      </x:c>
      <x:c r="C17" s="9" t="str">
        <x:v>weak_point</x:v>
      </x:c>
      <x:c r="D17" s="9" t="str">
        <x:v>claim</x:v>
      </x:c>
      <x:c r="E17" s="9" t="str">
        <x:v>Cross-optimizer transfer experiments tested only VGG19 on an unspecified dataset</x:v>
      </x:c>
      <x:c r="F17" s="9" t="str">
        <x:v>跨优化器迁移实验只测试了 VGG19，且论文未明确所用数据集</x:v>
      </x:c>
      <x:c r="G17" s="9" t="str">
        <x:v>The cross-optimizer transfer experiments for winning tickets (VGG19 tickets generated with SGD with momentum or Adam, evaluated on the alternate optimizer) were conducted on an unspecified natural-image classification dataset and used only the VGG19 architecture. The observation that winning tickets generalize across optimizers is therefore supported by evidence from a single architecture and an unidentified training dataset.
      Fig. 5</x:v>
      </x:c>
      <x:c r="H17" s="9" t="str">
        <x:v>跨优化器迁移实验将使用带动量 SGD 或 Adam 产生的 VGG19 彩票交由另一种优化器评估，但论文没有明确说明所用自然图像分类数据集，而且只测试了 VGG19 架构。因此，“中奖彩票可以跨优化器泛化”这一观察，目前只得到单一架构和未明确训练数据集的证据支持。</x:v>
      </x:c>
      <x:c r="I17" s="9" t="str"/>
      <x:c r="J17" s="9" t="n">
        <x:v>0.4</x:v>
      </x:c>
      <x:c r="K17" s="9" t="str">
        <x:v>{"failure_mode":"If the cross-optimizer transfer were evaluated only on CIFAR-10, it is possible that the result does not hold on other datasets (e.g., ImageNet, CIFAR-100) or other VGG variants. The claim that \"winning tickets can generalize across optimizers (SGD w/ momentum and Adam) for VGG models\" would then be overly broad, as it is only validated on one specific configuration.","refs":[{"text":"Fig. 5","type":"figure"}],"weak_types":["measurement","generalization"],"weakness_reason":"The paper's omission of the dataset for the cross-optimizer experiment is a reporting flaw. Moreover, the experiments are limited to a single architecture (VGG19) and a single dataset (likely CIFAR-10, but not stated). Testing on only one combination is insufficient to establish that cross-optimizer transfer is a general property of winning tickets, even for VGG models."}</x:v>
      </x:c>
      <x:c r="L17" s="9" t="str">
        <x:v>[]</x:v>
      </x:c>
      <x:c r="M17" s="9" t="str">
        <x:v>[]</x:v>
      </x:c>
      <x:c r="N17" s="9" t="str">
        <x:v>$.data.papers[0].graph.nodes[?(@.id=="paper:867771291879342656::P2")]</x:v>
      </x:c>
    </x:row>
    <x:row r="18" ht="72" customHeight="1">
      <x:c r="A18" s="9" t="str">
        <x:v>paper:867771291879342656::P3</x:v>
      </x:c>
      <x:c r="B18" s="9" t="str">
        <x:v>gcn_28af0bbdc68548ff</x:v>
      </x:c>
      <x:c r="C18" s="9" t="str">
        <x:v>weak_point</x:v>
      </x:c>
      <x:c r="D18" s="9" t="str">
        <x:v>claim</x:v>
      </x:c>
      <x:c r="E18" s="9" t="str">
        <x:v>Within-distribution transfer validated only on a single CIFAR-10 split</x:v>
      </x:c>
      <x:c r="F18" s="9" t="str">
        <x:v>同分布迁移只在 CIFAR-10 的一次切分上得到验证</x:v>
      </x:c>
      <x:c r="G18" s="9" t="str">
        <x:v>The within-distribution transfer experiment uses a single deterministic split of the CIFAR-10 dataset (CIFAR-10a and CIFAR-10b, each containing 25,000 training images with 2,500 images per class). The observed transfer of winning tickets from CIFAR-10a to CIFAR-10b has not been validated on other random splits of CIFAR-10 or on other natural-image datasets such as ImageNet or SVHN.
      Fig. 2</x:v>
      </x:c>
      <x:c r="H18" s="9" t="str">
        <x:v>同分布迁移实验只使用 CIFAR-10 的一次确定性切分：CIFAR-10a 和 CIFAR-10b 各含 25,000 张训练图像，每类 2,500 张。CIFAR-10a 彩票迁移到 CIFAR-10b 的结果，尚未在 CIFAR-10 的其他随机切分或 ImageNet、SVHN 等其他自然图像数据集上验证。</x:v>
      </x:c>
      <x:c r="I18" s="9" t="str"/>
      <x:c r="J18" s="9" t="n">
        <x:v>0.4</x:v>
      </x:c>
      <x:c r="K18" s="9" t="str">
        <x:v>{"failure_mode":"If the specific split CIFAR-10a/10b produced an idiosyncratic favorable result (e.g., due to accidental distribution differences, or sample selection bias), then the conclusion that tickets generalize across samples in general would be unsupported. Even if other splits would also show transfer, without testing, the claim is not justified.","refs":[{"text":"Fig. 2","type":"figure"}],"weak_types":["statistical","generalization"],"weakness_reason":"The experiment lacks replication across multiple random splits, which would be necessary to estimate the variability of the transfer effect and to rule out split-specific artifacts. Many machine learning studies split data randomly to ensure robustness; a single split is weak evidence for a claim about generalization across samples."}</x:v>
      </x:c>
      <x:c r="L18" s="9" t="str">
        <x:v>[]</x:v>
      </x:c>
      <x:c r="M18" s="9" t="str">
        <x:v>[]</x:v>
      </x:c>
      <x:c r="N18" s="9" t="str">
        <x:v>$.data.papers[0].graph.nodes[?(@.id=="paper:867771291879342656::P3")]</x:v>
      </x:c>
    </x:row>
    <x:row r="19" ht="72" customHeight="1">
      <x:c r="A19" s="9" t="str">
        <x:v>paper:867771291879342656::P4</x:v>
      </x:c>
      <x:c r="B19" s="9" t="str">
        <x:v>gcn_1ab73fec266c44e4</x:v>
      </x:c>
      <x:c r="C19" s="9" t="str">
        <x:v>weak_point</x:v>
      </x:c>
      <x:c r="D19" s="9" t="str">
        <x:v>claim</x:v>
      </x:c>
      <x:c r="E19" s="9" t="str">
        <x:v>Global versus layerwise pruning comparison conducted only on VGG19 and CIFAR-10</x:v>
      </x:c>
      <x:c r="F19" s="9" t="str">
        <x:v>全局剪枝与逐层剪枝的比较只在 CIFAR-10 上的 VGG19 中进行</x:v>
      </x:c>
      <x:c r="G19" s="9" t="str">
        <x:v>The comparison between global magnitude pruning and layerwise magnitude pruning for winning-ticket discovery was conducted on VGG19 trained on CIFAR-10. Global pruning produced higher test accuracy than layerwise pruning, and under the global schedule deeper convolutional layers were pruned more heavily than early layers. These observations have not been validated on other architectures such as ResNet50 or on other natural-image datasets.
      Fig. 1</x:v>
      </x:c>
      <x:c r="H19" s="9" t="str">
        <x:v>全局量级剪枝与逐层量级剪枝的比较只在 CIFAR-10 上训练的 VGG19 中进行。实验观察到全局剪枝测试准确率更高，而且在全局日程下，深层卷积层比浅层剪得更多。上述结果尚未在 ResNet50 等其他架构或其他自然图像数据集上验证。</x:v>
      </x:c>
      <x:c r="I19" s="9" t="str"/>
      <x:c r="J19" s="9" t="n">
        <x:v>0.5</x:v>
      </x:c>
      <x:c r="K19" s="9" t="str">
        <x:v>{"failure_mode":"If the performance advantage or sparsity pattern does not extend to other architectures, the claim that \"global magnitude pruning outperforms layerwise pruning and results in non-uniform layerwise sparsity (deeper layers pruned more) under global schedules\" would be too strong; it would only be known to hold for VGG19 on CIFAR-10.","refs":[{"text":"Fig. 1","type":"figure"}],"weak_types":["generalization"],"weakness_reason":"The conclusions about pruning methodology are drawn from a single configuration. The sparsity pattern may be architecture-specific (e.g., VGG19 has a specific channel structure; ResNet has skip connections and different depth distributions). The performance advantage of global pruning might not generalize, as the balance between layer sizes varies across architectures."}</x:v>
      </x:c>
      <x:c r="L19" s="9" t="str">
        <x:v>[]</x:v>
      </x:c>
      <x:c r="M19" s="9" t="str">
        <x:v>[]</x:v>
      </x:c>
      <x:c r="N19" s="9" t="str">
        <x:v>$.data.papers[0].graph.nodes[?(@.id=="paper:867771291879342656::P4")]</x:v>
      </x:c>
    </x:row>
    <x:row r="20" ht="72" customHeight="1">
      <x:c r="A20" s="9" t="str">
        <x:v>paper:867771291879342656::P5</x:v>
      </x:c>
      <x:c r="B20" s="9" t="str">
        <x:v>gcn_689e6ebe813c4c1a</x:v>
      </x:c>
      <x:c r="C20" s="9" t="str">
        <x:v>weak_point</x:v>
      </x:c>
      <x:c r="D20" s="9" t="str">
        <x:v>claim</x:v>
      </x:c>
      <x:c r="E20" s="9" t="str">
        <x:v>Mask information content analysis conducted only on VGG19 and CIFAR-10</x:v>
      </x:c>
      <x:c r="F20" s="9" t="str">
        <x:v>掩码信息量分析只在 CIFAR-10 上的 VGG19 中进行</x:v>
      </x:c>
      <x:c r="G20" s="9" t="str">
        <x:v>The analysis of mask information content was performed on VGG19 trained on CIFAR-10. Three mask types were compared: preserved winning-ticket masks, masks permuted only within layers (local permutation), and masks permuted across all layers (global permutation). Locally permuting the mask moderately degraded performance while globally permuting the mask dramatically degraded performance. This analysis has not been extended to other architectures or datasets.
      Fig. A1</x:v>
      </x:c>
      <x:c r="H20" s="9" t="str">
        <x:v>掩码信息量分析只在 CIFAR-10 上训练的 VGG19 中进行。实验比较了保留的彩票掩码、仅在层内置换的掩码和跨所有层全局置换的掩码；层内置换使性能中度下降，全局置换使性能显著下降。该分析尚未扩展到其他架构或数据集。</x:v>
      </x:c>
      <x:c r="I20" s="9" t="str"/>
      <x:c r="J20" s="9" t="n">
        <x:v>0.5</x:v>
      </x:c>
      <x:c r="K20" s="9" t="str">
        <x:v>{"failure_mode":"If on other architectures or datasets the performance drop from global permutation is less dramatic or absent, the claim that mask structure carries substantial information (and thus must be randomized for fair baselines) might be overstated or not universally applicable. The recommendation for fair baselines would then need qualification.","refs":[{"text":"Fig. A1","type":"figure"}],"weak_types":["generalization"],"weakness_reason":"The effect of mask permutation on performance could depend on the architecture (e.g., depth, layer sizes) and the dataset (e.g., complexity, number of classes). The paper does not demonstrate that the same pattern holds for ResNet50 or for other datasets like ImageNet."}</x:v>
      </x:c>
      <x:c r="L20" s="9" t="str">
        <x:v>[]</x:v>
      </x:c>
      <x:c r="M20" s="9" t="str">
        <x:v>[]</x:v>
      </x:c>
      <x:c r="N20" s="9" t="str">
        <x:v>$.data.papers[0].graph.nodes[?(@.id=="paper:867771291879342656::P5")]</x:v>
      </x:c>
    </x:row>
    <x:row r="21" ht="72" customHeight="1">
      <x:c r="A21" s="9" t="str">
        <x:v>paper:867771291879342656::H1</x:v>
      </x:c>
      <x:c r="B21" s="9" t="str">
        <x:v>gcn_e45469c873ff48e0</x:v>
      </x:c>
      <x:c r="C21" s="9" t="str">
        <x:v>highlight</x:v>
      </x:c>
      <x:c r="D21" s="9" t="str">
        <x:v>claim</x:v>
      </x:c>
      <x:c r="E21" s="9" t="str">
        <x:v>Transferred tickets outperform target-specific tickets on Fashion-MNIST via regularization</x:v>
      </x:c>
      <x:c r="F21" s="9" t="str">
        <x:v>迁移彩票通过正则化作用，在 Fashion-MNIST 上优于目标任务专用彩票</x:v>
      </x:c>
      <x:c r="G21" s="9" t="str">
        <x:v>For VGG19 trained on Fashion-MNIST, winning tickets sourced from ImageNet, Places365, and CIFAR-100 achieve substantially higher test accuracy at pruning fractions below approximately 80% than winning tickets generated on Fashion-MNIST itself. The Fashion-MNIST-specific tickets at low pruning fractions suffer from severe overfitting (low test accuracy), whereas transferred tickets from larger datasets maintain high accuracy.</x:v>
      </x:c>
      <x:c r="H21" s="9" t="str">
        <x:v>对于在 Fashion-MNIST 上训练的 VGG19，当剪枝比例低于约 80% 时，来自 ImageNet、Places365 和 CIFAR-100 的中奖彩票测试准确率明显高于在 Fashion-MNIST 本身发现的彩票。Fashion-MNIST 专用彩票在低剪枝比例下出现严重过拟合、测试准确率较低，而来自较大数据集的迁移彩票保持较高准确率。</x:v>
      </x:c>
      <x:c r="I21" s="9" t="str"/>
      <x:c r="J21" s="9" t="str"/>
      <x:c r="K21" s="9" t="str">
        <x:v>{"conclusion_id":"1","credit":"This result guards against the failure mode that transferred tickets might only perform as well as target-specific tickets, or that any positive transfer is merely due to the sparsity-induced regularization that could be achieved with any sparse initialization. Here, transferred tickets actually exceed target-specific performance in a regime where target-specific tickets fail (overfitting), showing that the ticket's initialization contains dataset-independent inductive biases that improve learning beyond what is achievable by the target-specific ticket. This directly supports the conclusion that winning tickets from large source datasets contain generic inductive biases, not just dataset-specific ones. The scope of credit is to provide strong evidence for the qualitative claim of generic inductive bias.","refs":[{"text":"Fig. 3b","type":"figure"}],"role":"highlight","strength_types":["comparative"]}</x:v>
      </x:c>
      <x:c r="L21" s="9" t="str">
        <x:v>[]</x:v>
      </x:c>
      <x:c r="M21" s="9" t="str">
        <x:v>[]</x:v>
      </x:c>
      <x:c r="N21" s="9" t="str">
        <x:v>$.data.papers[0].graph.nodes[?(@.id=="paper:867771291879342656::H1")]</x:v>
      </x:c>
    </x:row>
    <x:row r="22" ht="72" customHeight="1">
      <x:c r="A22" s="9" t="str">
        <x:v>paper:867771291879342656::H2</x:v>
      </x:c>
      <x:c r="B22" s="9" t="str">
        <x:v>gcn_aee4fdc5c5dc459c</x:v>
      </x:c>
      <x:c r="C22" s="9" t="str">
        <x:v>highlight</x:v>
      </x:c>
      <x:c r="D22" s="9" t="str">
        <x:v>claim</x:v>
      </x:c>
      <x:c r="E22" s="9" t="str">
        <x:v>Transfer pattern consistent across VGG19 and ResNet50</x:v>
      </x:c>
      <x:c r="F22" s="9" t="str">
        <x:v>VGG19 与 ResNet50 呈现一致的迁移模式</x:v>
      </x:c>
      <x:c r="G22" s="9" t="str">
        <x:v>For winning ticket transfer across natural-image datasets (SVHN, Fashion-MNIST, CIFAR-10, CIFAR-100, ImageNet, Places365) with VGG19 and ResNet50, the observed ordering of source dataset effectiveness (ImageNet/Places365 &gt; CIFAR-100 &gt; CIFAR-10 &gt; Fashion-MNIST/SVHN) is consistent across both architectures.</x:v>
      </x:c>
      <x:c r="H22" s="9" t="str">
        <x:v>在 VGG19 和 ResNet50 上进行自然图像数据集间的中奖彩票迁移时，源数据集有效性的排序在两种架构上保持一致：ImageNet/Places365 高于 CIFAR-100，CIFAR-100 高于 CIFAR-10，CIFAR-10 高于 Fashion-MNIST/SVHN。</x:v>
      </x:c>
      <x:c r="I22" s="9" t="str"/>
      <x:c r="J22" s="9" t="str"/>
      <x:c r="K22" s="9" t="str">
        <x:v>{"conclusion_id":"1","credit":"This consistency across architectures precludes the failure mode that the transfer results are an artifact of a particular architecture's inductive biases. It shows that the generic inductive bias in winning tickets is robust to architectural variations, at least within the tested families. This underwrites the claim that the tickets contain broadly useful properties, strengthening the conclusion that they can transfer across datasets. The scope is to provide strong evidence for the generality of the conclusion beyond a single architecture.","refs":[{"text":"Fig. 3, Fig. 4","type":"figure"}],"role":"highlight","strength_types":["generalization"]}</x:v>
      </x:c>
      <x:c r="L22" s="9" t="str">
        <x:v>[]</x:v>
      </x:c>
      <x:c r="M22" s="9" t="str">
        <x:v>[]</x:v>
      </x:c>
      <x:c r="N22" s="9" t="str">
        <x:v>$.data.papers[0].graph.nodes[?(@.id=="paper:867771291879342656::H2")]</x:v>
      </x:c>
    </x:row>
    <x:row r="23" ht="72" customHeight="1">
      <x:c r="A23" s="9" t="str">
        <x:v>paper:867771291879342656::H3</x:v>
      </x:c>
      <x:c r="B23" s="9" t="str">
        <x:v>gcn_99969bd7b3374530</x:v>
      </x:c>
      <x:c r="C23" s="9" t="str">
        <x:v>highlight</x:v>
      </x:c>
      <x:c r="D23" s="9" t="str">
        <x:v>claim</x:v>
      </x:c>
      <x:c r="E23" s="9" t="str">
        <x:v>Consistent ordering of source effectiveness across multiple targets and architectures</x:v>
      </x:c>
      <x:c r="F23" s="9" t="str">
        <x:v>多个目标数据集和两种架构上的源数据集有效性排序一致</x:v>
      </x:c>
      <x:c r="G23" s="9" t="str">
        <x:v>Comparing source dataset transferability across multiple target datasets (SVHN, Fashion-MNIST, CIFAR-10, CIFAR-100, ImageNet, Places365) and two architectures (VGG19 and ResNet50), the ordering of source effectiveness is remarkably consistent: ImageNet/Places365 &gt; CIFAR-100 &gt; CIFAR-10 &gt; Fashion-MNIST/SVHN. This holds across all target datasets.</x:v>
      </x:c>
      <x:c r="H23" s="9" t="str">
        <x:v>比较六个自然图像数据集之间的迁移以及 VGG19、ResNet50 两种架构后，源数据集有效性的排序非常一致：ImageNet/Places365 高于 CIFAR-100，CIFAR-100 高于 CIFAR-10，CIFAR-10 高于 Fashion-MNIST/SVHN；该排序在所有目标数据集上都成立。</x:v>
      </x:c>
      <x:c r="I23" s="9" t="str"/>
      <x:c r="J23" s="9" t="str"/>
      <x:c r="K23" s="9" t="str">
        <x:v>{"conclusion_id":"2","credit":"This result preempts the failure mode that the observed correlations are due to random chance or are specific to a particular target. The regular monotonic ordering across a matrix of source-target pairs provides correlational evidence that is robust and systematic, which is stronger than a single comparison. It underwrites the conclusion that source dataset properties are predictive, though not providing causality. The scope is to provide strong empirical support for the correlational claim.","refs":[{"text":"Fig. 3, Fig. 4","type":"figure"}],"role":"highlight","strength_types":["statistical","measurement"]}</x:v>
      </x:c>
      <x:c r="L23" s="9" t="str">
        <x:v>[]</x:v>
      </x:c>
      <x:c r="M23" s="9" t="str">
        <x:v>[]</x:v>
      </x:c>
      <x:c r="N23" s="9" t="str">
        <x:v>$.data.papers[0].graph.nodes[?(@.id=="paper:867771291879342656::H3")]</x:v>
      </x:c>
    </x:row>
    <x:row r="24" ht="72" customHeight="1">
      <x:c r="A24" s="9" t="str">
        <x:v>paper:867771291879342656::H4</x:v>
      </x:c>
      <x:c r="B24" s="9" t="str">
        <x:v>gcn_7e65860943ef43b2</x:v>
      </x:c>
      <x:c r="C24" s="9" t="str">
        <x:v>highlight</x:v>
      </x:c>
      <x:c r="D24" s="9" t="str">
        <x:v>claim</x:v>
      </x:c>
      <x:c r="E24" s="9" t="str">
        <x:v>Controlled cross-optimizer experiment on VGG19</x:v>
      </x:c>
      <x:c r="F24" s="9" t="str">
        <x:v>VGG19 上的受控跨优化器实验</x:v>
      </x:c>
      <x:c r="G24" s="9" t="str">
        <x:v>In the cross-optimizer transfer experiment on VGG19 (dataset not specified in the paper), winning tickets generated with one optimizer (SGD with momentum or Adam) are evaluated with the other optimizer. Across a wide range of pruning fractions, the transferred tickets achieve performance close to tickets generated directly with the target optimizer, especially at high pruning fractions. The experiment controls for architecture and pruning schedule, isolating the optimizer variable.</x:v>
      </x:c>
      <x:c r="H24" s="9" t="str">
        <x:v>在 VGG19 的跨优化器迁移实验中（论文未明确数据集），使用带动量 SGD 或 Adam 中一种优化器产生的彩票，交由另一种优化器评估。在广泛的剪枝比例下，迁移彩票的性能接近直接用目标优化器产生的彩票，尤其是在高剪枝比例下。实验控制了架构和剪枝日程，从而主要隔离了优化器变量。</x:v>
      </x:c>
      <x:c r="I24" s="9" t="str"/>
      <x:c r="J24" s="9" t="str"/>
      <x:c r="K24" s="9" t="str">
        <x:v>{"conclusion_id":"3","credit":"The controlled comparison isolates the effect of the optimizer, reducing the risk that other variables confound the transfer effect. The result shows that the winning ticket's inductive bias is not tied to the optimization algorithm used during discovery, at least for this architecture and dataset. This directly supports the conclusion that winning tickets can generalize across optimizers for VGG models. The scope is to show an existence proof for cross-optimizer transfer, though limited.","refs":[{"text":"Fig. 5","type":"figure"}],"role":"highlight","strength_types":["measurement","comparative"]}</x:v>
      </x:c>
      <x:c r="L24" s="9" t="str">
        <x:v>[]</x:v>
      </x:c>
      <x:c r="M24" s="9" t="str">
        <x:v>[]</x:v>
      </x:c>
      <x:c r="N24" s="9" t="str">
        <x:v>$.data.papers[0].graph.nodes[?(@.id=="paper:867771291879342656::H4")]</x:v>
      </x:c>
    </x:row>
    <x:row r="25" ht="72" customHeight="1">
      <x:c r="A25" s="9" t="str">
        <x:v>paper:867771291879342656::H5</x:v>
      </x:c>
      <x:c r="B25" s="9" t="str">
        <x:v>gcn_f5f76650187041f0</x:v>
      </x:c>
      <x:c r="C25" s="9" t="str">
        <x:v>highlight</x:v>
      </x:c>
      <x:c r="D25" s="9" t="str">
        <x:v>claim</x:v>
      </x:c>
      <x:c r="E25" s="9" t="str">
        <x:v>Within-distribution transfer to held-out samples for two architectures</x:v>
      </x:c>
      <x:c r="F25" s="9" t="str">
        <x:v>两种架构上的同分布留出样本迁移</x:v>
      </x:c>
      <x:c r="G25" s="9" t="str">
        <x:v>In the within-distribution transfer experiment (CIFAR-10 split into two halves CIFAR-10a and CIFAR-10b), winning tickets from CIFAR-10a transferred to CIFAR-10b improve test accuracy over random sparse initializations at high pruning fractions for both VGG19 and ResNet50. The use of a disjoint held-out split shows that the ticket's benefit is not due to memorization of training samples.</x:v>
      </x:c>
      <x:c r="H25" s="9" t="str">
        <x:v>在将 CIFAR-10 划分为互不重叠的 CIFAR-10a 和 CIFAR-10b 的同分布迁移实验中，CIFAR-10a 彩票迁移到 CIFAR-10b 后，在高剪枝比例下对 VGG19 和 ResNet50 都比随机稀疏初始化取得更高测试准确率。使用互不重叠的留出子集表明，彩票收益并非来自对训练样本的记忆。</x:v>
      </x:c>
      <x:c r="I25" s="9" t="str"/>
      <x:c r="J25" s="9" t="str"/>
      <x:c r="K25" s="9" t="str">
        <x:v>{"conclusion_id":"4","credit":"This result preempts the failure mode that winning tickets only work because they have seen the exact training images during discovery. The use of a disjoint held-out split shows that the initialization helps even on unseen samples from the same distribution. This is a necessary prerequisite for arguing that tickets transfer across different datasets (conclusion 1). The scope is to provide evidence for within-distribution generalization, which supports the broader transfer claims.","refs":[{"text":"Fig. 2","type":"figure"}],"role":"highlight","strength_types":["causal","generalization"]}</x:v>
      </x:c>
      <x:c r="L25" s="9" t="str">
        <x:v>[]</x:v>
      </x:c>
      <x:c r="M25" s="9" t="str">
        <x:v>[]</x:v>
      </x:c>
      <x:c r="N25" s="9" t="str">
        <x:v>$.data.papers[0].graph.nodes[?(@.id=="paper:867771291879342656::H5")]</x:v>
      </x:c>
    </x:row>
    <x:row r="26" ht="72" customHeight="1">
      <x:c r="A26" s="9" t="str">
        <x:v>paper:867771291879342656::H6</x:v>
      </x:c>
      <x:c r="B26" s="9" t="str">
        <x:v>gcn_5bc6e3d40d9047ac</x:v>
      </x:c>
      <x:c r="C26" s="9" t="str">
        <x:v>highlight</x:v>
      </x:c>
      <x:c r="D26" s="9" t="str">
        <x:v>claim</x:v>
      </x:c>
      <x:c r="E26" s="9" t="str">
        <x:v>Empirical comparison of global vs. layerwise pruning on VGG19/CIFAR-10</x:v>
      </x:c>
      <x:c r="F26" s="9" t="str">
        <x:v>CIFAR-10/VGG19 上全局剪枝与逐层剪枝的实证比较</x:v>
      </x:c>
      <x:c r="G26" s="9" t="str">
        <x:v>Figure 1a shows that global magnitude pruning on VGG19 trained on CIFAR-10 consistently outperforms layerwise pruning across all tested pruning fractions (from 0% pruned to 99.9% pruned). Figure 1b shows that under global pruning, the fraction of pruned weights varies per layer: deeper convolutional layers are pruned more heavily, while the first convolutional layer retains nearly all its weights even at 99.9% overall sparsity.</x:v>
      </x:c>
      <x:c r="H26" s="9" t="str">
        <x:v>图 1a 显示，在 CIFAR-10 上训练的 VGG19 中，全局量级剪枝在所有测试剪枝比例（0% 到 99.9%）下都优于逐层剪枝。图 1b 显示，全局剪枝下各层剪枝比例不同：深层卷积层被剪得更多，而第一卷积层即使在总体稀疏度达到 99.9% 时仍保留几乎全部权重。</x:v>
      </x:c>
      <x:c r="I26" s="9" t="str"/>
      <x:c r="J26" s="9" t="str"/>
      <x:c r="K26" s="9" t="str">
        <x:v>{"conclusion_id":"5","credit":"This direct empirical comparison demonstrates the superiority of global pruning for this architecture/dataset, showing that global pruning adapts to layer sizes. The pattern of non-uniform sparsity is clearly documented, providing insight into why global pruning works better. This supports the conclusion that global pruning outperforms layerwise pruning, at least in this setting. Without this evidence, the claim would rest on intuition alone.","refs":[{"text":"Fig. 1","type":"figure"}],"role":"highlight","strength_types":["comparative","measurement"]}</x:v>
      </x:c>
      <x:c r="L26" s="9" t="str">
        <x:v>[]</x:v>
      </x:c>
      <x:c r="M26" s="9" t="str">
        <x:v>[]</x:v>
      </x:c>
      <x:c r="N26" s="9" t="str">
        <x:v>$.data.papers[0].graph.nodes[?(@.id=="paper:867771291879342656::H6")]</x:v>
      </x:c>
    </x:row>
    <x:row r="27" ht="72" customHeight="1">
      <x:c r="A27" s="9" t="str">
        <x:v>paper:867771291879342656::H7</x:v>
      </x:c>
      <x:c r="B27" s="9" t="str">
        <x:v>gcn_7b46b876abf84403</x:v>
      </x:c>
      <x:c r="C27" s="9" t="str">
        <x:v>highlight</x:v>
      </x:c>
      <x:c r="D27" s="9" t="str">
        <x:v>claim</x:v>
      </x:c>
      <x:c r="E27" s="9" t="str">
        <x:v>Ablation of mask types reveals information content at two levels</x:v>
      </x:c>
      <x:c r="F27" s="9" t="str">
        <x:v>掩码类型消融揭示两个层面的信息量</x:v>
      </x:c>
      <x:c r="G27" s="9" t="str">
        <x:v>Figure A1 compares three mask types (preserved, locally permuted, globally permuted) for VGG19 on CIFAR-10, showing that the preserved mask performs best, locally permuted reduces performance moderately, and globally permuted reduces performance dramatically. This establishes that both layerwise statistics and across-layer mask structure carry information.</x:v>
      </x:c>
      <x:c r="H27" s="9" t="str">
        <x:v>图 A1 在 CIFAR-10 上的 VGG19 中比较了保留掩码、层内置换掩码和全局置换掩码。保留掩码性能最好，层内置换使性能中度下降，全局置换使性能显著下降。这表明逐层稀疏统计和跨层掩码结构都携带信息。</x:v>
      </x:c>
      <x:c r="I27" s="9" t="str"/>
      <x:c r="J27" s="9" t="str"/>
      <x:c r="K27" s="9" t="str">
        <x:v>{"conclusion_id":"6","credit":"This controlled ablation separates the contributions of layerwise versus global mask structure, showing that both levels carry information. This justifies the paper's choice of globally permuted mask as a fair baseline, because it removes both levels of mask information. Without this experiment, the field's standard practice of preserving the mask for random tickets would confound evaluations of winning tickets. The conclusion that mask structure carries substantial information is directly evidenced.","refs":[{"text":"Fig. A1","type":"figure"}],"role":"highlight","strength_types":["comparative","measurement"]}</x:v>
      </x:c>
      <x:c r="L27" s="9" t="str">
        <x:v>[]</x:v>
      </x:c>
      <x:c r="M27" s="9" t="str">
        <x:v>[]</x:v>
      </x:c>
      <x:c r="N27" s="9" t="str">
        <x:v>$.data.papers[0].graph.nodes[?(@.id=="paper:867771291879342656::H7")]</x:v>
      </x:c>
    </x:row>
    <x:row r="28" ht="72" customHeight="1">
      <x:c r="A28" s="9" t="str">
        <x:v>paper:867771291879342656::H8</x:v>
      </x:c>
      <x:c r="B28" s="9" t="str">
        <x:v>gcn_7f72706648474009</x:v>
      </x:c>
      <x:c r="C28" s="9" t="str">
        <x:v>highlight</x:v>
      </x:c>
      <x:c r="D28" s="9" t="str">
        <x:v>claim</x:v>
      </x:c>
      <x:c r="E28" s="9" t="str">
        <x:v>Successful replication of late-resetting for large-scale winning tickets</x:v>
      </x:c>
      <x:c r="F28" s="9" t="str">
        <x:v>在大规模设置中成功复现延迟重置中奖彩票</x:v>
      </x:c>
      <x:c r="G28" s="9" t="str">
        <x:v>Using late resetting (1 epoch for small datasets, 3 epochs for ImageNet/Places365) and iterative magnitude pruning (20% per iteration, 30 iterations), the paper successfully generates winning tickets for VGG19 and ResNet50 on all six datasets (Fashion-MNIST, SVHN, CIFAR-10, CIFAR-100, ImageNet, Places365), enabling the transfer experiments.</x:v>
      </x:c>
      <x:c r="H28" s="9" t="str">
        <x:v>论文采用延迟重置（小型数据集重置到第 1 个 epoch，ImageNet/Places365 重置到第 3 个 epoch）和迭代量级剪枝（每轮 20%，共 30 轮），在六个数据集上为 VGG19 和 ResNet50 成功产生了中奖彩票，从而使后续迁移实验得以进行。</x:v>
      </x:c>
      <x:c r="I28" s="9" t="str"/>
      <x:c r="J28" s="9" t="str"/>
      <x:c r="K28" s="9" t="str">
        <x:v>{"conclusion_id":"7","credit":"The successful replication of the late-resetting recipe demonstrates that the paper's experimental pipeline is sound, and that the tickets used for transfer are genuine winning tickets (i.e., they outperform random sparse baselines). Without this validation, the transfer results could be attributed to suboptimal tickets. The independent confirmation of prior work's recipe provides a reliable foundation for the transfer experiments. The scope is to validate the methodology.","role":"highlight","strength_types":["computational","external"]}</x:v>
      </x:c>
      <x:c r="L28" s="9" t="str">
        <x:v>[]</x:v>
      </x:c>
      <x:c r="M28" s="9" t="str">
        <x:v>[]</x:v>
      </x:c>
      <x:c r="N28" s="9" t="str">
        <x:v>$.data.papers[0].graph.nodes[?(@.id=="paper:867771291879342656::H8")]</x:v>
      </x:c>
    </x:row>
    <x:row r="29" ht="72" customHeight="1">
      <x:c r="A29" s="9" t="str">
        <x:v>lfac_38ad8d064f6577f1</x:v>
      </x:c>
      <x:c r="B29" s="9" t="str">
        <x:v>gfac_23a9dc72216645eb</x:v>
      </x:c>
      <x:c r="C29" s="9" t="str">
        <x:v>reasoning_steps</x:v>
      </x:c>
      <x:c r="D29" s="9" t="str">
        <x:v>factor</x:v>
      </x:c>
      <x:c r="E29" s="9" t="str"/>
      <x:c r="F29" s="9" t="str"/>
      <x:c r="G29" s="9" t="str"/>
      <x:c r="H29" s="9" t="str"/>
      <x:c r="I29" s="9" t="str"/>
      <x:c r="J29" s="9" t="str"/>
      <x:c r="K29" s="9" t="str">
        <x:v>{"premise_roles":{"paper:867771291879342656::H1":"highlight","paper:867771291879342656::H2":"highlight"}}</x:v>
      </x:c>
      <x:c r="L29" s="9" t="str">
        <x:v>[{"reasoning":"Define \"winning ticket\" as a sparse sub-network initialization which, when trained in isolation from its preserved initial parameter values, attains test accuracy comparable to the full over-parameterized network; define \"random ticket\" as a sparse sub-network with the same sparsity level whose preserved weights are re-drawn from the original initialization distribution and whose pruning mask may be randomized (see later steps for mask types). Cite the lottery ticket hypothesis as the conceptual foundation for this definition. \n[7]","step_id":"1"},{"reasoning":"Define \"iterative magnitude pruning\" as a procedure that repeatedly alternates training to convergence and removing the smallest-magnitude weights, pruning a fixed fraction of the remaining parameters at each iteration; in this work the iterative pruning fraction per iteration is $0.2$ (i.e., $20\\%$ of remaining parameters removed per pruning iteration). Note that magnitude pruning (pruning by weight magnitude) was originally proposed in prior pruning work. \n[12]","step_id":"2"},{"reasoning":"Define \"late resetting\" as resetting the remaining (unpruned) weights to their values at some early training iteration $k$ (with $k$ much smaller than the total number of training iterations) rather than to the parameters at iteration $0$; late resetting has been found to improve winning-ticket recovery in large models. In these experiments, late resetting values used were: reset to parameters after 1 epoch for Fashion-MNIST, SVHN, CIFAR-10, and CIFAR-100, and reset to parameters after 3 epochs for ImageNet and Places365. \n[8]","step_id":"3"},{"reasoning":"Describe the experimental procedure used to evaluate cross-dataset transfer: generate a winning ticket by iterative magnitude pruning (pruning fraction per iteration $0.2$ up to 30 iterations, with late resetting to early-iteration parameters) on a source dataset for a fixed network architecture (either VGG19 or ResNet50), then transfer that sparse initialization to a target dataset by (a) excluding and randomly reinitializing the final linear classification layer if necessary to accommodate a different number of output classes, (b) training the sparse subnetwork from the preserved initialization on the target dataset to convergence, and (c) comparing resulting test accuracy to (i) a random ticket baseline and (ii) a winning ticket discovered directly on the target dataset. Training hyperparameters (learning-rate schedules, number of epochs) were matched per model family during comparisons. \nFig. 3","step_id":"4"},{"reasoning":"Report that, across experiments transferring winning tickets from large, complex natural-image source datasets (ImageNet and Places365, and to a lesser extent CIFAR-100) to many natural-image target datasets (SVHN, Fashion-MNIST, CIFAR-10, CIFAR-100, ImageNet, Places365), the transferred winning-ticket initializations frequently achieved test accuracies on the target tasks that were close to the accuracies obtained by winning tickets discovered directly on those target datasets; this empirical result is summarized by the collection of source-vs-target curves showing that ImageNet- and Places365-sourced tickets attain performance similar to target-specific tickets across a wide range of pruning fractions. \nFig. 3","step_id":"5"},{"reasoning":"State that the transferability was observed across a wide range of pruning fractions, including very high sparsity: VGG19 transferred tickets maintained small decreases in accuracy even when $99.9\\%$ of weights were pruned (i.e., only $0.1\\%$ of parameters remaining), whereas ResNet50 exhibited a sharper degradation when only approximately $5\\text{-}10\\%$ of weights remained. This supports the claim that transfer occurs even at extreme sparsity levels, subject to architecture-dependent pruning cliffs. \nFig. 4","step_id":"6"},{"reasoning":"Provide the specific observation that larger / more class-rich source datasets produced stronger cross-dataset transfer: tickets sourced from ImageNet and Places365 produced the most consistently competitive transfer performance across target datasets; CIFAR-100 tickets generalized better than CIFAR-10 tickets despite both having $50{,}000$ training examples, indicating that source dataset complexity beyond mere sample count improves transfer. This observation is explicitly discussed in the results and illustrated by the CIFAR-10 vs. CIFAR-100 comparisons in the transfer plots. \nFig. 3","step_id":"7"},{"reasoning":"Note that the experimental protocol used VGG19 and ResNet50 architectures (VGG19 with removed fully-connected layers and a global-average-pool to final linear layer; ResNet50 in standard block configuration) and matched training schedules per architecture family (VGG19 trained for 160 epochs with learning-rate drops at epochs 80 and 120; ResNet50 trained for 90 epochs with learning-rate drops at epochs 50, 65, and 80), ensuring that transfer comparisons held architecture and training schedule consistent across source and target evaluations. These architectural and training details contextualize the reported transfer performance. \n[30]","step_id":"8"},{"reasoning":"Conclude from the preceding experimental definitions and empirical results that winning-ticket initializations discovered by iterative magnitude pruning (iterative pruning rate $0.2$, up to 30 pruning iterations; late resetting to early training iterations) on large, complex natural-image source datasets (ImageNet and Places365, and to a lesser extent CIFAR-100) produce sparse initializations that, when used to train the same architecture on other natural-image target datasets (SVHN, Fashion-MNIST, CIFAR-10, CIFAR-100, ImageNet, Places365), frequently achieve test accuracies on the target tasks that are close to accuracies obtained by winning tickets discovered directly on those targets, with transferability observed across a wide range of pruning fractions and stronger transfer from larger / more class-rich sources. \nFig. 3","step_id":"9"}]</x:v>
      </x:c>
      <x:c r="M29" s="9" t="str">
        <x:v>[{"step_id":"1","reasoning_zh":"将“中奖彩票”定义为一种稀疏子网络初始化：它从保留的初始参数值出发单独训练时，可以达到与完整过参数化网络相近的测试准确率。将“随机彩票”定义为具有相同稀疏度的稀疏子网络，其保留权重从原始初始化分布重新抽样，剪枝掩码也可以被随机化；彩票假说是这一概念的理论基础。"},{"step_id":"2","reasoning_zh":"将“迭代量级剪枝”定义为反复交替执行训练至收敛和删除最小量级权重的过程，每一轮剪除剩余参数中的固定比例。本研究每轮剪枝率为 0.2，即每轮删除剩余参数的 20%。"},{"step_id":"3","reasoning_zh":"将“延迟重置”定义为把剩余未剪权重重置到较早训练迭代 k 时的值，而不是第 0 次迭代的参数。实验中，Fashion-MNIST、SVHN、CIFAR-10 和 CIFAR-100 重置到训练 1 个 epoch 后，ImageNet 和 Places365 重置到训练 3 个 epoch 后。"},{"step_id":"4","reasoning_zh":"跨数据集迁移实验流程为：在固定架构（VGG19 或 ResNet50）和源数据集上，通过迭代量级剪枝产生中奖彩票；再将该稀疏初始化迁移到目标数据集。若输出类别数不同，则排除并随机重置最终线性分类层；随后在目标数据集上将稀疏子网络训练至收敛，并将测试准确率与随机彩票及直接在目标数据集上发现的彩票比较。比较时按模型族匹配训练超参数。"},{"step_id":"5","reasoning_zh":"实验观察到，从 ImageNet、Places365 以及较弱程度上的 CIFAR-100 等大型自然图像源数据集迁移到多个目标数据集时，迁移彩票经常取得接近目标数据集专用彩票的测试准确率；源—目标曲线表明，ImageNet 和 Places365 彩票在广泛剪枝比例下与目标专用彩票表现相近。"},{"step_id":"6","reasoning_zh":"迁移能力在广泛剪枝比例、包括极高稀疏度下都能观察到：VGG19 彩票即使剪除 99.9% 权重，准确率下降仍较小；ResNet50 在只剩约 5%—10% 权重时下降更陡。这说明极端稀疏下仍可能迁移，但存在依赖架构的剪枝临界点。"},{"step_id":"7","reasoning_zh":"大型或类别更丰富的源数据集产生更强的跨数据集迁移。ImageNet 和 Places365 彩票整体最具竞争力；CIFAR-100 与 CIFAR-10 都有 50,000 个训练样本，但前者彩票泛化更好，说明源数据集复杂度的作用不止样本数量。"},{"step_id":"8","reasoning_zh":"实验使用 VGG19 和 ResNet50，并在各架构族内匹配训练日程：VGG19 训练 160 个 epoch，在第 80、120 个 epoch 降低学习率；ResNet50 训练 90 个 epoch，在第 50、65、80 个 epoch 降低学习率。这些控制使源任务与目标任务的迁移比较保持架构和训练日程一致。"},{"step_id":"9","reasoning_zh":"综合定义和实验结果可得：在大型、复杂自然图像源数据集上通过迭代量级剪枝发现的彩票，迁移到其他自然图像目标数据集并训练相同架构时，往往能取得接近目标数据集专用彩票的测试准确率；迁移覆盖广泛剪枝比例，并且大型、类别更丰富的源数据集产生更强迁移。"}]</x:v>
      </x:c>
      <x:c r="N29" s="9" t="str">
        <x:v>$.data.papers[0].graph.nodes[?(@.id=="lfac_38ad8d064f6577f1")]</x:v>
      </x:c>
    </x:row>
    <x:row r="30" ht="72" customHeight="1">
      <x:c r="A30" s="9" t="str">
        <x:v>lfac_cb96d1b77e42b35b</x:v>
      </x:c>
      <x:c r="B30" s="9" t="str">
        <x:v>gfac_c69ff580f57d4fff</x:v>
      </x:c>
      <x:c r="C30" s="9" t="str">
        <x:v>reasoning_steps</x:v>
      </x:c>
      <x:c r="D30" s="9" t="str">
        <x:v>factor</x:v>
      </x:c>
      <x:c r="E30" s="9" t="str"/>
      <x:c r="F30" s="9" t="str"/>
      <x:c r="G30" s="9" t="str"/>
      <x:c r="H30" s="9" t="str"/>
      <x:c r="I30" s="9" t="str"/>
      <x:c r="J30" s="9" t="str"/>
      <x:c r="K30" s="9" t="str">
        <x:v>{"premise_roles":{"paper:867771291879342656::H3":"highlight","paper:867771291879342656::P1":"weak_point"}}</x:v>
      </x:c>
      <x:c r="L30" s="9" t="str">
        <x:v>[{"reasoning":"Define \"source dataset scale\" as the size of the training set measured by the number of training examples and define \"number of classes\" as the cardinality of the output label set for the classification task; both are properties of a dataset that can influence representational demands placed on a model.","step_id":"1"},{"reasoning":"State the empirical finding that winning tickets generated on larger source datasets (larger in number of training examples and/or number of classes) transferred substantially better to novel target datasets than tickets discovered on smaller source datasets; this trend was observed consistently across the set of natural-image datasets considered (Fashion-MNIST, SVHN, CIFAR-10, CIFAR-100, ImageNet, Places365). The summary claim appears in the Results and Discussion where larger, more complex datasets produced more generic winning tickets. \nFig. 3","step_id":"2"},{"reasoning":"Provide the counterexample used to show that the effect is not solely explained by raw training-set size: compare CIFAR-10 and CIFAR-100, which both have $50{,}000$ total training examples, but differ in number of classes (CIFAR-10 has $10$ classes, CIFAR-100 has $100$ classes); empirically, winning tickets generated on CIFAR-100 generalized better across target datasets than those generated on CIFAR-10, including transfers to simple datasets such as Fashion-MNIST and SVHN. This comparison isolates number of classes as an independent predictor of transferability beyond raw sample count. \nFig. 3","step_id":"3"},{"reasoning":"Note that the authors explicitly state that ImageNet- and Places365-derived tickets produced the most consistently competitive transfer performance across all targets, reinforcing that both larger training-set size and greater task complexity (many classes, diverse images) predict stronger generalization of winning tickets. \nFig. 3","step_id":"4"},{"reasoning":"Conclude that, based on the experimental comparisons and the CIFAR-10 vs CIFAR-100 controlled contrast, winning tickets discovered on larger source datasets—both in terms of number of training examples and number of output classes—transfer substantially better to novel target datasets than tickets discovered on smaller source datasets, and that this difference is not solely explained by raw training-set size because datasets with equal sample sizes but different class counts produced different transfer outcomes.","step_id":"5"}]</x:v>
      </x:c>
      <x:c r="M30" s="9" t="str">
        <x:v>[{"step_id":"1","reasoning_zh":"将“源数据集规模”定义为训练样本数量，将“类别数量”定义为分类任务输出标签集合的基数；两者都是可能影响模型表征需求的数据集属性。"},{"step_id":"2","reasoning_zh":"实证结果表明，从训练样本更多和/或类别更多的大型源数据集中产生的彩票，比小型源数据集产生的彩票更能迁移到新的目标数据集；该趋势在所考察的自然图像数据集中持续出现。"},{"step_id":"3","reasoning_zh":"为表明该效应不能只由训练集大小解释，比较训练样本数同为 50,000 的 CIFAR-10 与 CIFAR-100。两者类别数分别为 10 和 100；CIFAR-100 彩票在多个目标数据集上比 CIFAR-10 彩票泛化更好，包括 Fashion-MNIST 和 SVHN 等简单数据集。该对比将类别数量视为样本数以外的独立预测因素。"},{"step_id":"4","reasoning_zh":"作者明确指出，来自 ImageNet 和 Places365 的彩票在所有目标任务上最稳定地保持竞争力，这进一步支持更大的训练集、更多类别和更高任务复杂度与更强的彩票泛化相关。"},{"step_id":"5","reasoning_zh":"根据实验比较和 CIFAR-10/CIFAR-100 对比，可归纳为：训练样本更多、输出类别更多的大型源数据集产生的彩票，比小型源数据集产生的彩票更能迁移到新目标；这种差异不能只用训练样本数解释。"}]</x:v>
      </x:c>
      <x:c r="N30" s="9" t="str">
        <x:v>$.data.papers[0].graph.nodes[?(@.id=="lfac_cb96d1b77e42b35b")]</x:v>
      </x:c>
    </x:row>
    <x:row r="31" ht="72" customHeight="1">
      <x:c r="A31" s="9" t="str">
        <x:v>lfac_666bfce3ddeaaf51</x:v>
      </x:c>
      <x:c r="B31" s="9" t="str">
        <x:v>gfac_44b4164b33d2433e</x:v>
      </x:c>
      <x:c r="C31" s="9" t="str">
        <x:v>reasoning_steps</x:v>
      </x:c>
      <x:c r="D31" s="9" t="str">
        <x:v>factor</x:v>
      </x:c>
      <x:c r="E31" s="9" t="str"/>
      <x:c r="F31" s="9" t="str"/>
      <x:c r="G31" s="9" t="str"/>
      <x:c r="H31" s="9" t="str"/>
      <x:c r="I31" s="9" t="str"/>
      <x:c r="J31" s="9" t="str"/>
      <x:c r="K31" s="9" t="str">
        <x:v>{"premise_roles":{"paper:867771291879342656::H4":"highlight","paper:867771291879342656::P2":"weak_point"}}</x:v>
      </x:c>
      <x:c r="L31" s="9" t="str">
        <x:v>[{"reasoning":"Define the two optimizers used: \"SGD with momentum\" means stochastic gradient descent with momentum coefficient $0.9$, learning rate $0.1$, and weight decay $0.0001$ for the authors' SGD experiments; \"Adam\" denotes the Adam optimizer with learning rate $0.0003$, betas $(0.9,0.999)$, and weight decay $0.0001$ for the authors' Adam experiments. These hyperparameter values are those used in the experiments. \n[16]","step_id":"1"},{"reasoning":"Describe the experimental procedure for optimizer transfer: generate winning tickets using one optimizer (either SGD with momentum or Adam) on a source configuration (architecture and dataset) using iterative magnitude pruning with late resetting, then evaluate the preserved initialization by training the sparse subnetwork on the same dataset and architecture but using the alternate optimizer; compare the transferred-ticket performance to tickets discovered under the target optimizer and to random-ticket baselines.","step_id":"2"},{"reasoning":"Report the empirical result that, for VGG models, winning-ticket initializations generated with one optimizer generalize to training with a different optimizer: VGG19 tickets found using either SGD with momentum or Adam, when re-used with the alternate optimizer on target datasets, achieve high performance that is comparable to tickets discovered under the target optimizer. This result is summarized by the plotted curves showing similar final accuracies for tickets generated under each optimizer when evaluated with the other. \nFig. 5","step_id":"3"},{"reasoning":"Describe and report the optimizer-dependent nuance observed: tickets transferred from SGD to Adam sometimes under-perform random tickets at low pruning fractions (i.e., when few weights have been pruned), but these same transferred tickets outperform random tickets at high pruning fractions; this behavior is explicitly shown in the Adam evaluation curves for VGG models. \nFig. 5","step_id":"4"},{"reasoning":"Conclude that, from the described experiments and observed performance curves, winning-ticket initializations generated with one optimizer generalize to training with a different optimizer for VGG models, with some optimizer-dependent performance nuances (SGD-to-Adam under-performance at low pruning fractions but advantage at high pruning fractions).","step_id":"5"}]</x:v>
      </x:c>
      <x:c r="M31" s="9" t="str">
        <x:v>[{"step_id":"1","reasoning_zh":"定义两种优化器：带动量 SGD 使用动量系数 0.9、学习率 0.1、权重衰减 0.0001；Adam 使用学习率 0.0003、betas=(0.9,0.999)、权重衰减 0.0001。这些是论文实验采用的超参数。"},{"step_id":"2","reasoning_zh":"跨优化器实验先使用带动量 SGD 或 Adam 中的一种，在固定架构和数据集上结合迭代量级剪枝与延迟重置产生中奖彩票；随后保持稀疏初始化不变，改用另一种优化器在同一数据集和架构上训练，并与目标优化器直接发现的彩票以及随机彩票比较。"},{"step_id":"3","reasoning_zh":"对于 VGG 模型，一种优化器产生的彩票可以泛化到另一种优化器：用带动量 SGD 或 Adam 发现的 VGG19 彩票，改用另一优化器训练时，仍能取得与目标优化器直接发现的彩票相近的较高性能。"},{"step_id":"4","reasoning_zh":"实验还观察到依赖优化器的差异：从 SGD 迁移到 Adam 的彩票在低剪枝比例下有时不如随机彩票，但在高剪枝比例下则优于随机彩票；这一行为出现在 VGG 模型的 Adam 评估曲线中。"},{"step_id":"5","reasoning_zh":"由实验和性能曲线可得，在 VGG 模型上，一种优化器产生的中奖彩票可以迁移到另一种优化器，但存在优化器相关的性能差异。"}]</x:v>
      </x:c>
      <x:c r="N31" s="9" t="str">
        <x:v>$.data.papers[0].graph.nodes[?(@.id=="lfac_666bfce3ddeaaf51")]</x:v>
      </x:c>
    </x:row>
    <x:row r="32" ht="72" customHeight="1">
      <x:c r="A32" s="9" t="str">
        <x:v>lfac_745c4fd9e6ca523f</x:v>
      </x:c>
      <x:c r="B32" s="9" t="str">
        <x:v>gfac_e3055133cc914a46</x:v>
      </x:c>
      <x:c r="C32" s="9" t="str">
        <x:v>reasoning_steps</x:v>
      </x:c>
      <x:c r="D32" s="9" t="str">
        <x:v>factor</x:v>
      </x:c>
      <x:c r="E32" s="9" t="str"/>
      <x:c r="F32" s="9" t="str"/>
      <x:c r="G32" s="9" t="str"/>
      <x:c r="H32" s="9" t="str"/>
      <x:c r="I32" s="9" t="str"/>
      <x:c r="J32" s="9" t="str"/>
      <x:c r="K32" s="9" t="str">
        <x:v>{"premise_roles":{"paper:867771291879342656::H5":"highlight","paper:867771291879342656::P3":"weak_point"}}</x:v>
      </x:c>
      <x:c r="L32" s="9" t="str">
        <x:v>[{"reasoning":"Define \"within-distribution transfer\" as transferring a winning-ticket initialization from one subset of a dataset to a disjoint subset drawn from the same data distribution; in the experiments, CIFAR-10 was split into CIFAR-10a and CIFAR-10b, each containing $25{,}000$ training examples and $2{,}500$ images per class.","step_id":"1"},{"reasoning":"Describe the experimental protocol for this within-distribution test: generate a winning ticket on CIFAR-10a by iterative magnitude pruning with late resetting, then evaluate that winning ticket by training the preserved sparse initialization on the disjoint subset CIFAR-10b and compare performance to a random ticket baseline and to a winning ticket generated directly on CIFAR-10b. Experiments were performed for both VGG19 and ResNet50 architectures with six random seeds per curve. \nFig. 2","step_id":"2"},{"reasoning":"Report empirical observations: the CIFAR-10a winning ticket generalized well to CIFAR-10b for both VGG19 and ResNet50—transferred tickets improved training on the held-out subset relative to random sparse initializations—demonstrating that winning tickets are not simply memorizing specific training samples but capture initialization structure that benefits other samples from the same distribution. \nFig. 2","step_id":"3"},{"reasoning":"Report the architecture-dependent caveat: ResNet50 showed sensitivity at low pruning fractions, occasionally under-performing random tickets when few weights are pruned, indicating that within-distribution transfer can be architecture- and pruning-fraction-dependent. This behavior is explicitly observed in the ResNet50 CIFAR-10a-to-10b transfer curves where transferred tickets under-perform random tickets at low pruning. \nFig. 2","step_id":"4"},{"reasoning":"Conclude that a winning ticket discovered on one subset of a dataset transfers to a disjoint subset from the same data distribution and improves training on that held-out subset relative to random sparse initializations, with the within-distribution transfer holding for both VGG19 and ResNet50, though ResNet50 showed sensitivity at low pruning fractions.","step_id":"5"}]</x:v>
      </x:c>
      <x:c r="M32" s="9" t="str">
        <x:v>[{"step_id":"1","reasoning_zh":"将“同分布迁移”定义为把一个数据子集上发现的中奖彩票初始化迁移到从同一分布抽取的互不重叠子集。实验把 CIFAR-10 划分为 CIFAR-10a 和 CIFAR-10b，每个子集含 25,000 个训练样本、每类 2,500 张图像。"},{"step_id":"2","reasoning_zh":"实验先在 CIFAR-10a 上通过迭代量级剪枝和延迟重置产生中奖彩票，再把保留的稀疏初始化迁移到互不重叠的 CIFAR-10b 上训练，并与随机彩票及直接在 CIFAR-10b 上发现的彩票比较。VGG19 和 ResNet50 的每条曲线均使用 6 个随机种子。"},{"step_id":"3","reasoning_zh":"CIFAR-10a 彩票在 VGG19 和 ResNet50 上都能较好迁移到 CIFAR-10b；相对于随机稀疏初始化，迁移彩票改善了留出子集上的训练。这说明彩票并非只记忆特定训练样本，而是捕获了有利于同分布其他样本的初始化结构。"},{"step_id":"4","reasoning_zh":"ResNet50 在低剪枝比例下表现出敏感性：少量权重被剪除时，迁移彩票偶尔不如随机彩票。这表明同分布迁移可能依赖架构和剪枝比例。"},{"step_id":"5","reasoning_zh":"因此，一个数据子集上发现的彩票可以迁移到同一分布下互不重叠的子集，并相对于随机稀疏初始化改善训练；该结果在 VGG19 和 ResNet50 上都成立，但 ResNet50 在低剪枝比例下较敏感。"}]</x:v>
      </x:c>
      <x:c r="N32" s="9" t="str">
        <x:v>$.data.papers[0].graph.nodes[?(@.id=="lfac_745c4fd9e6ca523f")]</x:v>
      </x:c>
    </x:row>
    <x:row r="33" ht="72" customHeight="1">
      <x:c r="A33" s="9" t="str">
        <x:v>lfac_58096a5ebe94e02b</x:v>
      </x:c>
      <x:c r="B33" s="9" t="str">
        <x:v>gfac_c3044cce8fd949da</x:v>
      </x:c>
      <x:c r="C33" s="9" t="str">
        <x:v>reasoning_steps</x:v>
      </x:c>
      <x:c r="D33" s="9" t="str">
        <x:v>factor</x:v>
      </x:c>
      <x:c r="E33" s="9" t="str"/>
      <x:c r="F33" s="9" t="str"/>
      <x:c r="G33" s="9" t="str"/>
      <x:c r="H33" s="9" t="str"/>
      <x:c r="I33" s="9" t="str"/>
      <x:c r="J33" s="9" t="str"/>
      <x:c r="K33" s="9" t="str">
        <x:v>{"premise_roles":{"paper:867771291879342656::H6":"highlight","paper:867771291879342656::P4":"weak_point"}}</x:v>
      </x:c>
      <x:c r="L33" s="9" t="str">
        <x:v>[{"reasoning":"Define \"layerwise pruning\" as pruning that removes the same fraction of parameters within each layer independently, and define \"global pruning\" as pooling all weights across layers and removing the smallest-magnitude weights across the entire network, allowing different layers to have different resulting sparsities.","step_id":"1"},{"reasoning":"State the experimental comparison: the authors compared performance of winning tickets found using global magnitude pruning to those found using layerwise pruning on CIFAR-10 with VGG19, plotting test accuracy as a function of fraction of pruned weights and comparing against random-ticket baselines. The comparison shows that global pruning yields higher-performing sparse subnetworks than layerwise pruning at matched overall sparsity levels. \nFig. 1","step_id":"2"},{"reasoning":"Report the observed non-uniformity of layerwise sparsity under global magnitude pruning: when applying global pruning schedules, deeper convolutional layers were pruned more heavily while early layers, notably the first convolutional layer, retained a much larger fraction of their parameters. This pattern is shown quantitatively by plotting, per convolutional layer, the ratio of global pruning rate to layerwise pruning rate at multiple pruning iterations, which indicates higher relative pruning in deeper layers and relative preservation of early layers. \nFig. 1","step_id":"3"},{"reasoning":"Provide the intuitive justification and concrete numerical example offered by the authors: because deeper layers often contain many more parameters than early layers, applying a constant pruning rate per layer (layerwise) would disproportionately harm early layers that have few absolute parameters; for instance, the first layer of VGG19 contains $1792$ parameters, so pruning that layer at a $99\\%$ rate would leave only $18$ parameters, severely reducing expressivity; global pruning avoids this by pruning relatively more where parameter counts are large and relatively less where parameter counts are small.","step_id":"4"},{"reasoning":"Conclude from the empirical comparison and layerwise-pruning statistics that global magnitude pruning outperforms layerwise pruning in producing higher-performing winning tickets, and that global pruning induces non-uniform layerwise sparsity with deeper layers pruned more and early layers, especially the first convolutional layer, retaining a larger fraction of parameters. \nFig. 1","step_id":"5"}]</x:v>
      </x:c>
      <x:c r="M33" s="9" t="str">
        <x:v>[{"step_id":"1","reasoning_zh":"“逐层剪枝”指在每一层内独立删除相同比例的参数；“全局剪枝”指汇总所有层的权重，并在整个网络范围内删除量级最小的权重，因此各层最终稀疏度可以不同。"},{"step_id":"2","reasoning_zh":"作者在 CIFAR-10 上的 VGG19 中比较全局量级剪枝和逐层剪枝所得彩票的性能，并以剪除权重比例为横轴绘制测试准确率，同时与随机彩票比较。在总体稀疏度相同时，全局剪枝得到的稀疏子网络性能更高。"},{"step_id":"3","reasoning_zh":"全局剪枝下逐层稀疏度并不均匀：深层卷积层被剪得更多，浅层、尤其第一卷积层保留了更高比例的参数。各卷积层的全局剪枝率与逐层剪枝率之比定量展示了这一模式。"},{"step_id":"4","reasoning_zh":"作者给出的直观解释是：深层通常比浅层拥有更多参数，逐层使用固定剪枝率会过度损害绝对参数量很少的浅层。例如 VGG19 第一层有 1,792 个参数，若剪除 99%，只剩 18 个参数，表达能力将严重受损；全局剪枝会在参数多处多剪、参数少处少剪。"},{"step_id":"5","reasoning_zh":"根据性能比较和逐层剪枝统计，全局量级剪枝比逐层剪枝更能产生高性能中奖彩票，并形成非均匀逐层稀疏模式：深层剪得更多，浅层、尤其第一卷积层保留更多参数。"}]</x:v>
      </x:c>
      <x:c r="N33" s="9" t="str">
        <x:v>$.data.papers[0].graph.nodes[?(@.id=="lfac_58096a5ebe94e02b")]</x:v>
      </x:c>
    </x:row>
    <x:row r="34" ht="72" customHeight="1">
      <x:c r="A34" s="9" t="str">
        <x:v>lfac_c6ff5645cff61bd7</x:v>
      </x:c>
      <x:c r="B34" s="9" t="str">
        <x:v>gfac_d6b5714cb5074f58</x:v>
      </x:c>
      <x:c r="C34" s="9" t="str">
        <x:v>reasoning_steps</x:v>
      </x:c>
      <x:c r="D34" s="9" t="str">
        <x:v>factor</x:v>
      </x:c>
      <x:c r="E34" s="9" t="str"/>
      <x:c r="F34" s="9" t="str"/>
      <x:c r="G34" s="9" t="str"/>
      <x:c r="H34" s="9" t="str"/>
      <x:c r="I34" s="9" t="str"/>
      <x:c r="J34" s="9" t="str"/>
      <x:c r="K34" s="9" t="str">
        <x:v>{"premise_roles":{"paper:867771291879342656::H7":"highlight","paper:867771291879342656::P5":"weak_point"}}</x:v>
      </x:c>
      <x:c r="L34" s="9" t="str">
        <x:v>[{"reasoning":"Define the \"pruning mask\" (or \"mask\") as the binary indicator over model parameters where a value of $1$ indicates a preserved (unpruned) weight and $0$ indicates a removed (pruned) weight; distinguish three mask conditions used in experiments: (a) \"preserved mask\" meaning the exact mask found by the winning-ticket discovery process is used unchanged for the random ticket, (b) \"locally permuted mask\" meaning the mask is randomly permuted within each layer (so layerwise sparsity statistics are preserved but intra-layer structure is randomized), and (c) \"globally permuted mask\" meaning the mask is randomly permuted across all layers (so neither layerwise statistics nor intra-layer structure is preserved).","step_id":"1"},{"reasoning":"Describe the experiment comparing these mask types: on CIFAR-10 the authors evaluated performance of a winning ticket (preserved mask), a random-ticket using locally permuted masks, and a random-ticket using globally permuted masks, holding other aspects of initialization constant; performance was measured across pruning fractions with six random seeds per curve. \nFig. A1","step_id":"2"},{"reasoning":"Report empirical findings from the mask-comparison experiment: the winning ticket outperformed all random tickets; locally permuting masks damaged performance somewhat relative to the preserved mask, whereas globally permuting the mask resulted in dramatically worse performance relative to both the preserved and locally permuted masks. These results indicate that layerwise mask statistics and cross-layer mask structure both carry informative inductive bias discovered during pruning. \nFig. A1","step_id":"3"},{"reasoning":"State the methodological implication drawn by the authors: because preserving the layerwise mask structure transfers information from the winning ticket to the random-ticket baseline, a fair \"random ticket\" baseline should randomize both weight values and mask structure (i.e., perform a global permutation of the mask) so that no layerwise statistics or cross-layer mask information is inadvertently preserved from the discovered winning ticket. This recommendation is based on the observed large performance gap when masks are globally permuted versus preserved. \nFig. A1","step_id":"4"},{"reasoning":"Conclude that the structure of the pruning mask contains substantial information useful for training sparse networks and that fair random baselines must randomize mask structure (global permutation), because locally permuting a mask degrades performance moderately while globally permuting the mask degrades performance dramatically.","step_id":"5"}]</x:v>
      </x:c>
      <x:c r="M34" s="9" t="str">
        <x:v>[{"step_id":"1","reasoning_zh":"将剪枝掩码定义为模型参数上的二值指示器：1 表示保留权重，0 表示删除权重。实验区分三种条件：保留掩码，即原样使用彩票发现得到的掩码；层内置换掩码，即在每层内部随机置换，保留逐层稀疏统计但打乱层内结构；全局置换掩码，即跨所有层随机置换，既不保留逐层统计，也不保留层内结构。"},{"step_id":"2","reasoning_zh":"在 CIFAR-10 上，作者比较保留掩码的彩票、使用层内置换掩码的随机彩票和使用全局置换掩码的随机彩票，并保持初始化的其他方面一致；性能在多个剪枝比例下测量，每条曲线使用 6 个随机种子。"},{"step_id":"3","reasoning_zh":"掩码比较实验发现：中奖彩票优于所有随机彩票；层内置换相对保留掩码造成一定性能损失，而全局置换相对保留掩码和层内置换掩码都造成显著更差的性能。这说明逐层掩码统计与跨层掩码结构都携带剪枝过程中发现的有信息归纳偏置。"},{"step_id":"4","reasoning_zh":"作者据此提出方法学含义：在随机彩票基线中保留逐层掩码结构，会把中奖彩票的信息带入基线。因此，公平的随机彩票应同时随机化权重值和掩码结构，即进行全局掩码置换，避免无意保留已发现彩票的逐层统计或跨层结构信息。"},{"step_id":"5","reasoning_zh":"因此，剪枝掩码结构包含对训练稀疏网络有用的重要信息；公平的随机基线必须随机化掩码结构。层内置换使性能中度下降，而全局置换使性能显著下降。"}]</x:v>
      </x:c>
      <x:c r="N34" s="9" t="str">
        <x:v>$.data.papers[0].graph.nodes[?(@.id=="lfac_c6ff5645cff61bd7")]</x:v>
      </x:c>
    </x:row>
    <x:row r="35" ht="72" customHeight="1">
      <x:c r="A35" s="10" t="str">
        <x:v>lfac_c9fb5d9571d5a824</x:v>
      </x:c>
      <x:c r="B35" s="10" t="str">
        <x:v>gfac_4b1e13fb2075448a</x:v>
      </x:c>
      <x:c r="C35" s="10" t="str">
        <x:v>reasoning_steps</x:v>
      </x:c>
      <x:c r="D35" s="10" t="str">
        <x:v>factor</x:v>
      </x:c>
      <x:c r="E35" s="10" t="str"/>
      <x:c r="F35" s="10" t="str"/>
      <x:c r="G35" s="10" t="str"/>
      <x:c r="H35" s="10" t="str"/>
      <x:c r="I35" s="10" t="str"/>
      <x:c r="J35" s="10" t="str"/>
      <x:c r="K35" s="10" t="str">
        <x:v>{"premise_roles":{"paper:867771291879342656::H8":"highlight"}}</x:v>
      </x:c>
      <x:c r="L35" s="10" t="str">
        <x:v>[{"reasoning":"Specify the iterative magnitude-pruning schedule used to obtain winning tickets: an iterative pruning fraction per iteration of $0.2$ (i.e., $20\\%$ of remaining parameters removed each iteration) and up to $30$ pruning iterations in total; after the sixth pruning iteration, model performance was evaluated every third pruning iteration. These pruning hyperparameters were applied across the experiments reported.","step_id":"1"},{"reasoning":"State the late resetting choices made for different datasets: for Fashion-MNIST, SVHN, CIFAR-10, and CIFAR-100 winning tickets, weights were reset to their values after $1$ epoch of training; for ImageNet and Places365 winning tickets, weights were reset to their values after $3$ epochs of training. These late resetting values were used consistently in the ticket-discovery pipeline.","step_id":"2"},{"reasoning":"Provide the learning-rate annealing and other training hyperparameters matched per model family: for VGG19 models, training ran for $160$ epochs with learning-rate drops by a factor of $10$ at epochs $80$ and $120$; for ResNet50 models, training ran for $90$ epochs with learning-rate drops by a factor of $10$ at epochs $50$, $65$, and $80$; for models trained with SGD the base learning rate was $0.1$ with momentum $0.9$ and weight decay $0.0001$, and for models trained with Adam the learning rate was $0.0003$ with betas $0.9$ and $0.999$ and weight decay $0.0001$. Batch sizes and distributed-training details differed by dataset scale as described in the experimental methods. \nFig. 3","step_id":"3"},{"reasoning":"Note the motivation given by the authors for these settings: iterative pruning with small per-iteration removal (here $20\\%$) helps to de-noise the pruning process and produces substantially better pruned models and winning tickets than one-shot large-fraction pruning, and late resetting to an early training iteration $k$ improves winning-ticket recovery and removes the need for learning-rate warmup in large models. These considerations motivated the chosen schedule for the large-model / large-dataset regime studied. \n[8]","step_id":"4"},{"reasoning":"Conclude that, for obtaining competitive winning tickets in the large-model / large-dataset regime used here, the authors used an iterative magnitude-pruning schedule with pruning fraction per iteration $0.2$ over up to $30$ iterations combined with late resetting to parameters at a small early training iteration; the explicit late resetting settings were $1$ epoch for Fashion-MNIST, SVHN, CIFAR-10 and CIFAR-100, and $3$ epochs for ImageNet and Places365, and learning-rate annealing schedules and other hyperparameters were matched per model family (VGG19 trained $160$ epochs with LR drops at epochs $80$ and $120$; ResNet50 trained $90$ epochs with LR drops at epochs $50$, $65$, and $80$). \n[8]","step_id":"5"}]</x:v>
      </x:c>
      <x:c r="M35" s="10" t="str">
        <x:v>[{"step_id":"1","reasoning_zh":"论文采用的迭代量级剪枝日程为：每轮删除剩余参数的 20%，最多进行 30 轮；第 6 轮以后，每隔 3 轮评估一次模型性能。"},{"step_id":"2","reasoning_zh":"不同数据集的延迟重置点为：Fashion-MNIST、SVHN、CIFAR-10 和 CIFAR-100 重置到训练 1 个 epoch 后的权重；ImageNet 和 Places365 重置到训练 3 个 epoch 后的权重。"},{"step_id":"3","reasoning_zh":"按模型族匹配的训练超参数为：VGG19 训练 160 个 epoch，在第 80、120 个 epoch 将学习率降低 10 倍；ResNet50 训练 90 个 epoch，在第 50、65、80 个 epoch 将学习率降低 10 倍。SGD 基础学习率为 0.1、动量 0.9、权重衰减 0.0001；Adam 学习率为 0.0003、betas 为 0.9 和 0.999、权重衰减 0.0001。批量大小和分布式训练细节随数据集规模而异。"},{"step_id":"4","reasoning_zh":"作者对这些设置的解释是：每轮只删除较小比例参数的迭代剪枝有助于降低剪枝过程噪声，比一次性大比例剪枝产生更好的模型和彩票；延迟重置到训练早期能够改善大型模型中的彩票恢复，并减少对学习率预热的需求。"},{"step_id":"5","reasoning_zh":"因此，在本文的大模型、大数据集设置中，作者采用每轮 20%、最多 30 轮的迭代量级剪枝，并延迟重置到训练早期参数；小型数据集重置到第 1 个 epoch，ImageNet 和 Places365 重置到第 3 个 epoch，同时按模型族匹配学习率日程和其他超参数。"}]</x:v>
      </x:c>
      <x:c r="N35" s="10" t="str">
        <x:v>$.data.papers[0].graph.nodes[?(@.id=="lfac_c9fb5d9571d5a824")]</x:v>
      </x:c>
    </x:row>
  </x:sheetData>
  <x:pageMargins left="0.7" right="0.7" top="0.75" bottom="0.75" header="0.3" footer="0.3"/>
  <x:tableParts count="1">
    <x:tablePart xmlns:r="http://schemas.openxmlformats.org/officeDocument/2006/relationships" r:id="Rcb379d39ccc74d0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70" hidden="0" customWidth="1"/>
    <x:col min="3" max="3" width="48" hidden="0" customWidth="1"/>
  </x:cols>
  <x:sheetData>
    <x:row r="1" ht="32" customHeight="1">
      <x:c r="A1" s="7" t="str">
        <x:v>字段</x:v>
      </x:c>
      <x:c r="B1" s="7" t="str">
        <x:v>允许值/规则</x:v>
      </x:c>
      <x:c r="C1" s="7" t="str">
        <x:v>用途</x:v>
      </x:c>
    </x:row>
    <x:row r="2" ht="32" customHeight="1">
      <x:c r="A2" s="8" t="str">
        <x:v>类型</x:v>
      </x:c>
      <x:c r="B2" s="8" t="str">
        <x:v>结论｜观察｜假说｜前提｜背景｜问题</x:v>
      </x:c>
      <x:c r="C2" s="8" t="str">
        <x:v>命题的知识类型</x:v>
      </x:c>
    </x:row>
    <x:row r="3" ht="32" customHeight="1">
      <x:c r="A3" s="9" t="str">
        <x:v>已进入正式IR</x:v>
      </x:c>
      <x:c r="B3" s="9" t="str">
        <x:v>否｜部分｜是</x:v>
      </x:c>
      <x:c r="C3" s="9" t="str">
        <x:v>只有在正式 IR 中获得 ID 后才填“是”</x:v>
      </x:c>
    </x:row>
    <x:row r="4" ht="32" customHeight="1">
      <x:c r="A4" s="9" t="str">
        <x:v>复核状态</x:v>
      </x:c>
      <x:c r="B4" s="9" t="str">
        <x:v>已核对｜已定位原文；待句级复核｜需核对图中读数｜分析性命题；待复核｜问题设定；待确认边界｜LKM推理；待逐步审计</x:v>
      </x:c>
      <x:c r="C4" s="9" t="str">
        <x:v>后续人工工作队列</x:v>
      </x:c>
    </x:row>
    <x:row r="5" ht="32" customHeight="1">
      <x:c r="A5" s="9" t="str">
        <x:v>稳定 ID</x:v>
      </x:c>
      <x:c r="B5" s="9" t="str">
        <x:v>OTWTA-{层级}-{源ID/结论/步骤}</x:v>
      </x:c>
      <x:c r="C5" s="9" t="str">
        <x:v>不随行号变化；保留源 ID</x:v>
      </x:c>
    </x:row>
    <x:row r="6" ht="32" customHeight="1">
      <x:c r="A6" s="10" t="str">
        <x:v>规范结论 ID</x:v>
      </x:c>
      <x:c r="B6" s="10" t="str">
        <x:v>OTWTA-C01 … OTWTA-C07</x:v>
      </x:c>
      <x:c r="C6" s="10" t="str">
        <x:v>连接两个 JSON 的主键</x:v>
      </x:c>
    </x:row>
    <x:row r="7" ht="32" customHeight="1"/>
    <x:row r="8" ht="32" customHeight="1">
      <x:c r="A8" s="152" t="str">
        <x:v>QC 检查</x:v>
      </x:c>
      <x:c r="B8" s="153" t="str">
        <x:v>结果</x:v>
      </x:c>
      <x:c r="C8" s="154" t="str">
        <x:v>说明</x:v>
      </x:c>
    </x:row>
    <x:row r="9" ht="32" customHeight="1">
      <x:c r="A9" s="20" t="str">
        <x:v>稳定 ID 重复数</x:v>
      </x:c>
      <x:c r="B9" s="94" t="n">
        <x:f>COUNTA(Evidence_Ledger!A2:A90)-COUNTA(_xlfn.UNIQUE(Evidence_Ledger!A2:A90))</x:f>
        <x:v>0</x:v>
      </x:c>
      <x:c r="C9" s="21"/>
    </x:row>
    <x:row r="10" ht="32" customHeight="1">
      <x:c r="A10" s="20" t="str">
        <x:v>缺失论文章节</x:v>
      </x:c>
      <x:c r="B10" s="94" t="n">
        <x:f>COUNTBLANK(Evidence_Ledger!L2:L90)</x:f>
        <x:v>0</x:v>
      </x:c>
      <x:c r="C10" s="21"/>
    </x:row>
    <x:row r="11" ht="32" customHeight="1">
      <x:c r="A11" s="20" t="str">
        <x:v>缺失 OCR 锚点</x:v>
      </x:c>
      <x:c r="B11" s="94" t="n">
        <x:f>COUNTBLANK(Evidence_Ledger!O2:O90)</x:f>
        <x:v>0</x:v>
      </x:c>
      <x:c r="C11" s="21"/>
    </x:row>
    <x:row r="12" ht="32" customHeight="1">
      <x:c r="A12" s="20" t="str">
        <x:v>缺失支持/反驳且不是结论/问题</x:v>
      </x:c>
      <x:c r="B12" s="94" t="n">
        <x:f>COUNTIFS(Evidence_Ledger!Q2:Q90,"",Evidence_Ledger!R2:R90,"",Evidence_Ledger!I2:I90,"&lt;&gt;结论",Evidence_Ledger!I2:I90,"&lt;&gt;问题")</x:f>
        <x:v>0</x:v>
      </x:c>
      <x:c r="C12" s="21"/>
    </x:row>
    <x:row r="13" ht="32" customHeight="1">
      <x:c r="A13" s="20" t="str">
        <x:v>正式 IR=是但 IR_ID 为空</x:v>
      </x:c>
      <x:c r="B13" s="94" t="n">
        <x:f>COUNTIFS(Evidence_Ledger!U2:U90,"是",Evidence_Ledger!V2:V90,"")</x:f>
        <x:v>0</x:v>
      </x:c>
      <x:c r="C13" s="21"/>
    </x:row>
    <x:row r="14" ht="32" customHeight="1">
      <x:c r="A14" s="20" t="str">
        <x:v>台账总数</x:v>
      </x:c>
      <x:c r="B14" s="94" t="n">
        <x:f>COUNTA(Evidence_Ledger!A2:A90)</x:f>
        <x:v>89</x:v>
      </x:c>
      <x:c r="C14" s="21"/>
    </x:row>
    <x:row r="15" ht="32" customHeight="1">
      <x:c r="A15" s="22" t="str">
        <x:v>缺失中文工作文本</x:v>
      </x:c>
      <x:c r="B15" s="95" t="n">
        <x:f>COUNTBLANK(Evidence_Ledger!H2:H90)</x:f>
        <x:v>0</x:v>
      </x:c>
      <x:c r="C15" s="23"/>
    </x:row>
  </x:sheetData>
  <x:conditionalFormatting sqref="B9:B13">
    <x:cfRule type="cellIs" dxfId="7" priority="1" operator="greaterThan">
      <x:formula>0</x:formula>
    </x:cfRule>
    <x:cfRule type="cellIs" dxfId="8" priority="2" operator="equal">
      <x:formula>0</x:formula>
    </x:cfRule>
  </x:conditionalFormatting>
  <x:conditionalFormatting sqref="B15:B15">
    <x:cfRule type="cellIs" dxfId="9" priority="3" operator="greaterThan">
      <x:formula>0</x:formula>
    </x:cfRule>
    <x:cfRule type="cellIs" dxfId="10" priority="4" operator="equal">
      <x:formula>0</x:formula>
    </x:cfRule>
  </x:conditionalFormatting>
  <x:pageMargins left="0.7" right="0.7" top="0.75" bottom="0.75" header="0.3" footer="0.3"/>
  <x:tableParts count="1">
    <x:tablePart xmlns:r="http://schemas.openxmlformats.org/officeDocument/2006/relationships" r:id="R7759c0b987b84da8"/>
  </x:tableParts>
</x:worksheet>
</file>